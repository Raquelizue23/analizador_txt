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onesofttek.sharepoint.com/sites/SKPpensionissste/1-0000036463/Shared Documents/02. Celulas Carpeta de trabajo/02. Célula de Derivados/03. Diseño/Archivos de trabajo/Mapeo de campos Oscar/Mapeo compartido el 26 de febrero/"/>
    </mc:Choice>
  </mc:AlternateContent>
  <xr:revisionPtr revIDLastSave="11" documentId="13_ncr:1_{39122C66-C676-4B79-80DA-2257EB7614D1}" xr6:coauthVersionLast="47" xr6:coauthVersionMax="47" xr10:uidLastSave="{9A7A980B-22BF-43BF-9FD6-FEC8BA401D08}"/>
  <bookViews>
    <workbookView xWindow="-110" yWindow="-110" windowWidth="19420" windowHeight="10300" activeTab="2" xr2:uid="{C1E5837B-3C8E-44DB-9314-33AA027B21F0}"/>
  </bookViews>
  <sheets>
    <sheet name="Nuevo Formato" sheetId="5" r:id="rId1"/>
    <sheet name="Tablas" sheetId="6" r:id="rId2"/>
    <sheet name="Mapeo" sheetId="2" r:id="rId3"/>
    <sheet name="ResumenCampos" sheetId="4" r:id="rId4"/>
    <sheet name="Apis" sheetId="3" r:id="rId5"/>
    <sheet name="Mapeo W" sheetId="11" r:id="rId6"/>
    <sheet name="Inicios" sheetId="7" r:id="rId7"/>
    <sheet name="Compensaciones" sheetId="8" r:id="rId8"/>
    <sheet name="Flujos Swaps" sheetId="9" r:id="rId9"/>
    <sheet name="PRE9599" sheetId="10" r:id="rId10"/>
  </sheets>
  <definedNames>
    <definedName name="_xlnm._FilterDatabase" localSheetId="2" hidden="1">Mapeo!$A$2:$M$67</definedName>
    <definedName name="_xlnm._FilterDatabase" localSheetId="5" hidden="1">'Mapeo W'!$A$7:$WVR$7</definedName>
    <definedName name="_xlnm.Print_Area" localSheetId="5">'Mapeo W'!$B$1:$J$81</definedName>
    <definedName name="_xlnm.Print_Area" localSheetId="0">'Nuevo Formato'!$B$1:$J$81</definedName>
  </definedNames>
  <calcPr calcId="191028"/>
  <pivotCaches>
    <pivotCache cacheId="0"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9" i="11" l="1"/>
  <c r="AB9" i="11"/>
  <c r="AA10" i="11"/>
  <c r="AB10" i="11"/>
  <c r="AA11" i="11"/>
  <c r="AB11" i="11"/>
  <c r="AA12" i="11"/>
  <c r="AB12" i="11"/>
  <c r="AA13" i="11"/>
  <c r="AB13" i="11"/>
  <c r="AA14" i="11"/>
  <c r="AB14" i="11"/>
  <c r="AA15" i="11"/>
  <c r="AB15" i="11"/>
  <c r="AA16" i="11"/>
  <c r="AB16" i="11"/>
  <c r="AA17" i="11"/>
  <c r="AB17" i="11"/>
  <c r="AA18" i="11"/>
  <c r="AB18" i="11"/>
  <c r="AA19" i="11"/>
  <c r="AB19" i="11"/>
  <c r="AA20" i="11"/>
  <c r="AB20" i="11"/>
  <c r="AA21" i="11"/>
  <c r="AB21" i="11"/>
  <c r="AA22" i="11"/>
  <c r="AB22" i="11"/>
  <c r="AA23" i="11"/>
  <c r="AB23" i="11"/>
  <c r="AA24" i="11"/>
  <c r="AB24" i="11"/>
  <c r="AA25" i="11"/>
  <c r="AB25" i="11"/>
  <c r="AA26" i="11"/>
  <c r="AB26" i="11"/>
  <c r="AA27" i="11"/>
  <c r="AB27" i="11"/>
  <c r="AA28" i="11"/>
  <c r="AB28" i="11"/>
  <c r="AA29" i="11"/>
  <c r="AB29" i="11"/>
  <c r="AA30" i="11"/>
  <c r="AB30" i="11"/>
  <c r="AA31" i="11"/>
  <c r="AB31" i="11"/>
  <c r="AA32" i="11"/>
  <c r="AB32" i="11"/>
  <c r="AA33" i="11"/>
  <c r="AB33" i="11"/>
  <c r="AA34" i="11"/>
  <c r="AB34" i="11"/>
  <c r="AA35" i="11"/>
  <c r="AB35" i="11"/>
  <c r="AA36" i="11"/>
  <c r="AB36" i="11"/>
  <c r="AA37" i="11"/>
  <c r="AB37" i="11"/>
  <c r="AA38" i="11"/>
  <c r="AB38" i="11"/>
  <c r="AA39" i="11"/>
  <c r="AB39" i="11"/>
  <c r="AA40" i="11"/>
  <c r="AB40" i="11"/>
  <c r="AA41" i="11"/>
  <c r="AB41" i="11"/>
  <c r="AA42" i="11"/>
  <c r="AB42" i="11"/>
  <c r="AA43" i="11"/>
  <c r="AB43" i="11"/>
  <c r="AA44" i="11"/>
  <c r="AB44" i="11"/>
  <c r="AA45" i="11"/>
  <c r="AB45" i="11"/>
  <c r="AA46" i="11"/>
  <c r="AB46" i="11"/>
  <c r="AA47" i="11"/>
  <c r="AB47" i="11"/>
  <c r="AA48" i="11"/>
  <c r="AB48" i="11"/>
  <c r="AA49" i="11"/>
  <c r="AB49" i="11"/>
  <c r="AA50" i="11"/>
  <c r="AB50" i="11"/>
  <c r="AA51" i="11"/>
  <c r="AB51" i="11"/>
  <c r="AA52" i="11"/>
  <c r="AB52" i="11"/>
  <c r="AA53" i="11"/>
  <c r="AB53" i="11"/>
  <c r="AA54" i="11"/>
  <c r="AB54" i="11"/>
  <c r="AA55" i="11"/>
  <c r="AB55" i="11"/>
  <c r="AA56" i="11"/>
  <c r="AB56" i="11"/>
  <c r="AA57" i="11"/>
  <c r="AB57" i="11"/>
  <c r="AA58" i="11"/>
  <c r="AB58" i="11"/>
  <c r="AA59" i="11"/>
  <c r="AB59" i="11"/>
  <c r="AA60" i="11"/>
  <c r="AB60" i="11"/>
  <c r="AA61" i="11"/>
  <c r="AB61" i="11"/>
  <c r="AA62" i="11"/>
  <c r="AB62" i="11"/>
  <c r="AA63" i="11"/>
  <c r="AB63" i="11"/>
  <c r="AA64" i="11"/>
  <c r="AB64" i="11"/>
  <c r="AA65" i="11"/>
  <c r="AB65" i="11"/>
  <c r="AA66" i="11"/>
  <c r="AB66" i="11"/>
  <c r="AA67" i="11"/>
  <c r="AB67" i="11"/>
  <c r="AA68" i="11"/>
  <c r="AB68" i="11"/>
  <c r="AA69" i="11"/>
  <c r="AB69" i="11"/>
  <c r="AA70" i="11"/>
  <c r="AB70" i="11"/>
  <c r="AA71" i="11"/>
  <c r="AB71" i="11"/>
  <c r="AA72" i="11"/>
  <c r="AB72" i="11"/>
  <c r="AB8" i="11"/>
  <c r="AA8" i="11"/>
  <c r="X72" i="11"/>
  <c r="W72" i="11"/>
  <c r="X71" i="11"/>
  <c r="W71" i="11"/>
  <c r="X70" i="11"/>
  <c r="W70" i="11"/>
  <c r="X69" i="11"/>
  <c r="W69" i="11"/>
  <c r="X68" i="11"/>
  <c r="W68" i="11"/>
  <c r="X67" i="11"/>
  <c r="W67" i="11"/>
  <c r="X66" i="11"/>
  <c r="W66" i="11"/>
  <c r="X65" i="11"/>
  <c r="W65" i="11"/>
  <c r="X64" i="11"/>
  <c r="W64" i="11"/>
  <c r="X63" i="11"/>
  <c r="W63" i="11"/>
  <c r="X62" i="11"/>
  <c r="W62" i="11"/>
  <c r="X61" i="11"/>
  <c r="W61" i="11"/>
  <c r="X60" i="11"/>
  <c r="W60" i="11"/>
  <c r="X59" i="11"/>
  <c r="W59" i="11"/>
  <c r="X58" i="11"/>
  <c r="W58" i="11"/>
  <c r="X57" i="11"/>
  <c r="W57" i="11"/>
  <c r="X56" i="11"/>
  <c r="W56" i="11"/>
  <c r="X55" i="11"/>
  <c r="W55" i="11"/>
  <c r="X54" i="11"/>
  <c r="W54" i="11"/>
  <c r="X53" i="11"/>
  <c r="W53" i="11"/>
  <c r="X52" i="11"/>
  <c r="W52" i="11"/>
  <c r="X51" i="11"/>
  <c r="W51" i="11"/>
  <c r="X50" i="11"/>
  <c r="W50" i="11"/>
  <c r="X49" i="11"/>
  <c r="W49" i="11"/>
  <c r="X48" i="11"/>
  <c r="W48" i="11"/>
  <c r="X47" i="11"/>
  <c r="W47" i="11"/>
  <c r="X46" i="11"/>
  <c r="W46" i="11"/>
  <c r="X45" i="11"/>
  <c r="W45" i="11"/>
  <c r="X44" i="11"/>
  <c r="W44" i="11"/>
  <c r="X43" i="11"/>
  <c r="W43" i="11"/>
  <c r="X42" i="11"/>
  <c r="W42" i="11"/>
  <c r="X41" i="11"/>
  <c r="W41" i="11"/>
  <c r="X40" i="11"/>
  <c r="W40" i="11"/>
  <c r="X39" i="11"/>
  <c r="W39" i="11"/>
  <c r="X38" i="11"/>
  <c r="W38" i="11"/>
  <c r="X37" i="11"/>
  <c r="W37" i="11"/>
  <c r="X36" i="11"/>
  <c r="W36" i="11"/>
  <c r="X35" i="11"/>
  <c r="W35" i="11"/>
  <c r="X34" i="11"/>
  <c r="W34" i="11"/>
  <c r="X33" i="11"/>
  <c r="W33" i="11"/>
  <c r="X32" i="11"/>
  <c r="W32" i="11"/>
  <c r="X31" i="11"/>
  <c r="W31" i="11"/>
  <c r="X30" i="11"/>
  <c r="W30" i="11"/>
  <c r="X29" i="11"/>
  <c r="W29" i="11"/>
  <c r="X28" i="11"/>
  <c r="W28" i="11"/>
  <c r="X27" i="11"/>
  <c r="W27" i="11"/>
  <c r="X26" i="11"/>
  <c r="W26" i="11"/>
  <c r="X25" i="11"/>
  <c r="W25" i="11"/>
  <c r="X24" i="11"/>
  <c r="W24" i="11"/>
  <c r="X23" i="11"/>
  <c r="W23" i="11"/>
  <c r="X22" i="11"/>
  <c r="W22" i="11"/>
  <c r="X21" i="11"/>
  <c r="W21" i="11"/>
  <c r="X20" i="11"/>
  <c r="W20" i="11"/>
  <c r="X19" i="11"/>
  <c r="W19" i="11"/>
  <c r="X18" i="11"/>
  <c r="W18" i="11"/>
  <c r="X17" i="11"/>
  <c r="W17" i="11"/>
  <c r="X16" i="11"/>
  <c r="W16" i="11"/>
  <c r="X15" i="11"/>
  <c r="W15" i="11"/>
  <c r="X14" i="11"/>
  <c r="W14" i="11"/>
  <c r="X13" i="11"/>
  <c r="W13" i="11"/>
  <c r="X12" i="11"/>
  <c r="W12" i="11"/>
  <c r="X11" i="11"/>
  <c r="W11" i="11"/>
  <c r="X10" i="11"/>
  <c r="W10" i="11"/>
  <c r="X9" i="11"/>
  <c r="W9" i="11"/>
  <c r="X8" i="11"/>
  <c r="W8" i="11"/>
  <c r="T72" i="11"/>
  <c r="S72" i="11"/>
  <c r="T71" i="11"/>
  <c r="S71" i="11"/>
  <c r="T70" i="11"/>
  <c r="S70" i="11"/>
  <c r="T69" i="11"/>
  <c r="S69" i="11"/>
  <c r="T68" i="11"/>
  <c r="S68" i="11"/>
  <c r="T67" i="11"/>
  <c r="S67" i="11"/>
  <c r="T66" i="11"/>
  <c r="S66" i="11"/>
  <c r="T65" i="11"/>
  <c r="S65" i="11"/>
  <c r="T64" i="11"/>
  <c r="S64" i="11"/>
  <c r="T63" i="11"/>
  <c r="S63" i="11"/>
  <c r="T62" i="11"/>
  <c r="S62" i="11"/>
  <c r="T61" i="11"/>
  <c r="S61" i="11"/>
  <c r="T60" i="11"/>
  <c r="S60" i="11"/>
  <c r="T59" i="11"/>
  <c r="S59" i="11"/>
  <c r="T58" i="11"/>
  <c r="S58" i="11"/>
  <c r="T57" i="11"/>
  <c r="S57" i="11"/>
  <c r="T56" i="11"/>
  <c r="S56" i="11"/>
  <c r="T55" i="11"/>
  <c r="S55" i="11"/>
  <c r="T54" i="11"/>
  <c r="S54" i="11"/>
  <c r="T53" i="11"/>
  <c r="S53" i="11"/>
  <c r="T52" i="11"/>
  <c r="S52" i="11"/>
  <c r="T51" i="11"/>
  <c r="S51" i="11"/>
  <c r="T50" i="11"/>
  <c r="S50" i="11"/>
  <c r="T49" i="11"/>
  <c r="S49" i="11"/>
  <c r="T48" i="11"/>
  <c r="S48" i="11"/>
  <c r="T47" i="11"/>
  <c r="S47" i="11"/>
  <c r="T46" i="11"/>
  <c r="S46" i="11"/>
  <c r="T45" i="11"/>
  <c r="S45" i="11"/>
  <c r="T44" i="11"/>
  <c r="S44" i="11"/>
  <c r="T43" i="11"/>
  <c r="S43" i="11"/>
  <c r="T42" i="11"/>
  <c r="S42" i="11"/>
  <c r="T41" i="11"/>
  <c r="S41" i="11"/>
  <c r="T40" i="11"/>
  <c r="S40" i="11"/>
  <c r="T39" i="11"/>
  <c r="S39" i="11"/>
  <c r="T38" i="11"/>
  <c r="S38" i="11"/>
  <c r="T37" i="11"/>
  <c r="S37" i="11"/>
  <c r="T36" i="11"/>
  <c r="S36" i="11"/>
  <c r="T35" i="11"/>
  <c r="S35" i="11"/>
  <c r="T34" i="11"/>
  <c r="S34" i="11"/>
  <c r="T33" i="11"/>
  <c r="S33" i="11"/>
  <c r="T32" i="11"/>
  <c r="S32" i="11"/>
  <c r="T31" i="11"/>
  <c r="S31" i="11"/>
  <c r="T30" i="11"/>
  <c r="S30" i="11"/>
  <c r="T29" i="11"/>
  <c r="S29" i="11"/>
  <c r="T28" i="11"/>
  <c r="S28" i="11"/>
  <c r="T27" i="11"/>
  <c r="S27" i="11"/>
  <c r="T26" i="11"/>
  <c r="S26" i="11"/>
  <c r="T25" i="11"/>
  <c r="S25" i="11"/>
  <c r="T24" i="11"/>
  <c r="S24" i="11"/>
  <c r="T23" i="11"/>
  <c r="S23" i="11"/>
  <c r="T22" i="11"/>
  <c r="S22" i="11"/>
  <c r="T21" i="11"/>
  <c r="S21" i="11"/>
  <c r="T20" i="11"/>
  <c r="S20" i="11"/>
  <c r="T19" i="11"/>
  <c r="S19" i="11"/>
  <c r="T18" i="11"/>
  <c r="S18" i="11"/>
  <c r="T17" i="11"/>
  <c r="S17" i="11"/>
  <c r="T16" i="11"/>
  <c r="S16" i="11"/>
  <c r="T15" i="11"/>
  <c r="S15" i="11"/>
  <c r="T14" i="11"/>
  <c r="S14" i="11"/>
  <c r="T13" i="11"/>
  <c r="S13" i="11"/>
  <c r="T12" i="11"/>
  <c r="S12" i="11"/>
  <c r="T11" i="11"/>
  <c r="S11" i="11"/>
  <c r="T10" i="11"/>
  <c r="S10" i="11"/>
  <c r="T9" i="11"/>
  <c r="S9" i="11"/>
  <c r="T8" i="11"/>
  <c r="S8" i="11"/>
  <c r="P72" i="11"/>
  <c r="O72" i="11"/>
  <c r="P71" i="11"/>
  <c r="O71" i="11"/>
  <c r="P70" i="11"/>
  <c r="O70" i="11"/>
  <c r="P69" i="11"/>
  <c r="O69" i="11"/>
  <c r="P68" i="11"/>
  <c r="O68" i="11"/>
  <c r="P67" i="11"/>
  <c r="O67" i="11"/>
  <c r="P66" i="11"/>
  <c r="O66" i="11"/>
  <c r="P65" i="11"/>
  <c r="O65" i="11"/>
  <c r="P64" i="11"/>
  <c r="O64" i="11"/>
  <c r="P63" i="11"/>
  <c r="O63" i="11"/>
  <c r="P62" i="11"/>
  <c r="O62" i="11"/>
  <c r="P61" i="11"/>
  <c r="O61" i="11"/>
  <c r="P60" i="11"/>
  <c r="O60" i="11"/>
  <c r="P59" i="11"/>
  <c r="O59" i="11"/>
  <c r="P58" i="11"/>
  <c r="O58" i="11"/>
  <c r="P57" i="11"/>
  <c r="O57" i="11"/>
  <c r="P56" i="11"/>
  <c r="O56" i="11"/>
  <c r="P55" i="11"/>
  <c r="O55" i="11"/>
  <c r="P54" i="11"/>
  <c r="O54" i="11"/>
  <c r="P53" i="11"/>
  <c r="O53" i="11"/>
  <c r="P52" i="11"/>
  <c r="O52" i="11"/>
  <c r="P51" i="11"/>
  <c r="O51" i="11"/>
  <c r="P50" i="11"/>
  <c r="O50" i="11"/>
  <c r="P49" i="11"/>
  <c r="O49" i="11"/>
  <c r="P48" i="11"/>
  <c r="O48" i="11"/>
  <c r="P47" i="11"/>
  <c r="O47" i="11"/>
  <c r="P46" i="11"/>
  <c r="O46" i="11"/>
  <c r="P45" i="11"/>
  <c r="O45" i="11"/>
  <c r="P44" i="11"/>
  <c r="O44" i="11"/>
  <c r="P43" i="11"/>
  <c r="O43" i="11"/>
  <c r="P42" i="11"/>
  <c r="O42" i="11"/>
  <c r="P41" i="11"/>
  <c r="O41" i="11"/>
  <c r="P40" i="11"/>
  <c r="O40" i="11"/>
  <c r="P39" i="11"/>
  <c r="O39" i="11"/>
  <c r="P38" i="11"/>
  <c r="O38" i="11"/>
  <c r="P37" i="11"/>
  <c r="O37" i="11"/>
  <c r="P36" i="11"/>
  <c r="O36" i="11"/>
  <c r="P35" i="11"/>
  <c r="O35" i="11"/>
  <c r="P34" i="11"/>
  <c r="O34" i="11"/>
  <c r="P33" i="11"/>
  <c r="O33" i="11"/>
  <c r="P32" i="11"/>
  <c r="O32" i="11"/>
  <c r="P31" i="11"/>
  <c r="O31" i="11"/>
  <c r="P30" i="11"/>
  <c r="O30" i="11"/>
  <c r="P29" i="11"/>
  <c r="O29" i="11"/>
  <c r="P28" i="11"/>
  <c r="O28" i="11"/>
  <c r="P27" i="11"/>
  <c r="O27" i="11"/>
  <c r="P26" i="11"/>
  <c r="O26" i="11"/>
  <c r="P25" i="11"/>
  <c r="O25" i="11"/>
  <c r="P24" i="11"/>
  <c r="O24" i="11"/>
  <c r="P23" i="11"/>
  <c r="O23" i="11"/>
  <c r="P22" i="11"/>
  <c r="O22" i="11"/>
  <c r="P21" i="11"/>
  <c r="O21" i="11"/>
  <c r="P20" i="11"/>
  <c r="O20" i="11"/>
  <c r="P19" i="11"/>
  <c r="O19" i="11"/>
  <c r="P18" i="11"/>
  <c r="O18" i="11"/>
  <c r="P17" i="11"/>
  <c r="O17" i="11"/>
  <c r="P16" i="11"/>
  <c r="O16" i="11"/>
  <c r="P15" i="11"/>
  <c r="O15" i="11"/>
  <c r="P14" i="11"/>
  <c r="O14" i="11"/>
  <c r="P13" i="11"/>
  <c r="O13" i="11"/>
  <c r="P12" i="11"/>
  <c r="O12" i="11"/>
  <c r="P11" i="11"/>
  <c r="O11" i="11"/>
  <c r="P10" i="11"/>
  <c r="O10" i="11"/>
  <c r="P9" i="11"/>
  <c r="O9" i="11"/>
  <c r="P8" i="11"/>
  <c r="O8" i="11"/>
  <c r="K9" i="11"/>
  <c r="L9" i="11"/>
  <c r="K10" i="11"/>
  <c r="L10" i="11"/>
  <c r="K11" i="11"/>
  <c r="L11" i="11"/>
  <c r="K12" i="11"/>
  <c r="L12" i="11"/>
  <c r="K13" i="11"/>
  <c r="L13" i="11"/>
  <c r="K14" i="11"/>
  <c r="L14" i="11"/>
  <c r="K15" i="11"/>
  <c r="L15" i="11"/>
  <c r="K16" i="11"/>
  <c r="L16" i="11"/>
  <c r="K17" i="11"/>
  <c r="L17" i="11"/>
  <c r="K18" i="11"/>
  <c r="L18" i="11"/>
  <c r="K19" i="11"/>
  <c r="L19" i="11"/>
  <c r="K20" i="11"/>
  <c r="L20" i="11"/>
  <c r="K21" i="11"/>
  <c r="L21" i="11"/>
  <c r="K22" i="11"/>
  <c r="L22" i="11"/>
  <c r="K23" i="11"/>
  <c r="L23" i="11"/>
  <c r="K24" i="11"/>
  <c r="L24" i="11"/>
  <c r="K25" i="11"/>
  <c r="L25" i="11"/>
  <c r="K26" i="11"/>
  <c r="L26" i="11"/>
  <c r="K27" i="11"/>
  <c r="L27" i="11"/>
  <c r="K28" i="11"/>
  <c r="L28" i="11"/>
  <c r="K29" i="11"/>
  <c r="L29" i="11"/>
  <c r="K30" i="11"/>
  <c r="L30" i="11"/>
  <c r="K31" i="11"/>
  <c r="L31" i="11"/>
  <c r="K32" i="11"/>
  <c r="L32" i="11"/>
  <c r="K33" i="11"/>
  <c r="L33" i="11"/>
  <c r="K34" i="11"/>
  <c r="L34" i="11"/>
  <c r="K35" i="11"/>
  <c r="L35" i="11"/>
  <c r="K36" i="11"/>
  <c r="L36" i="11"/>
  <c r="K37" i="11"/>
  <c r="L37" i="11"/>
  <c r="K38" i="11"/>
  <c r="L38" i="11"/>
  <c r="K39" i="11"/>
  <c r="L39" i="11"/>
  <c r="K40" i="11"/>
  <c r="L40" i="11"/>
  <c r="K41" i="11"/>
  <c r="L41" i="11"/>
  <c r="K42" i="11"/>
  <c r="L42" i="11"/>
  <c r="K43" i="11"/>
  <c r="L43" i="11"/>
  <c r="K44" i="11"/>
  <c r="L44" i="11"/>
  <c r="K45" i="11"/>
  <c r="L45" i="11"/>
  <c r="K46" i="11"/>
  <c r="L46" i="11"/>
  <c r="K47" i="11"/>
  <c r="L47" i="11"/>
  <c r="K48" i="11"/>
  <c r="L48" i="11"/>
  <c r="K49" i="11"/>
  <c r="L49" i="11"/>
  <c r="K50" i="11"/>
  <c r="L50" i="11"/>
  <c r="K51" i="11"/>
  <c r="L51" i="11"/>
  <c r="K52" i="11"/>
  <c r="L52" i="11"/>
  <c r="K53" i="11"/>
  <c r="L53" i="11"/>
  <c r="K54" i="11"/>
  <c r="L54" i="11"/>
  <c r="K55" i="11"/>
  <c r="L55" i="11"/>
  <c r="K56" i="11"/>
  <c r="L56" i="11"/>
  <c r="K57" i="11"/>
  <c r="L57" i="11"/>
  <c r="K58" i="11"/>
  <c r="L58" i="11"/>
  <c r="K59" i="11"/>
  <c r="L59" i="11"/>
  <c r="K60" i="11"/>
  <c r="L60" i="11"/>
  <c r="K61" i="11"/>
  <c r="L61" i="11"/>
  <c r="K62" i="11"/>
  <c r="L62" i="11"/>
  <c r="K63" i="11"/>
  <c r="L63" i="11"/>
  <c r="K64" i="11"/>
  <c r="L64" i="11"/>
  <c r="K65" i="11"/>
  <c r="L65" i="11"/>
  <c r="K66" i="11"/>
  <c r="L66" i="11"/>
  <c r="K67" i="11"/>
  <c r="L67" i="11"/>
  <c r="K68" i="11"/>
  <c r="L68" i="11"/>
  <c r="K69" i="11"/>
  <c r="L69" i="11"/>
  <c r="K70" i="11"/>
  <c r="L70" i="11"/>
  <c r="K71" i="11"/>
  <c r="L71" i="11"/>
  <c r="K72" i="11"/>
  <c r="L72" i="11"/>
  <c r="L8" i="11"/>
  <c r="K8" i="11"/>
  <c r="D9" i="11"/>
  <c r="E9" i="11" s="1"/>
  <c r="D10" i="11" s="1"/>
  <c r="E10" i="11" s="1"/>
  <c r="D11" i="11" s="1"/>
  <c r="E11" i="11" s="1"/>
  <c r="D12" i="11" s="1"/>
  <c r="E12" i="11" s="1"/>
  <c r="D13" i="11" s="1"/>
  <c r="E13" i="11" s="1"/>
  <c r="D14" i="11" s="1"/>
  <c r="E14" i="11" s="1"/>
  <c r="D15" i="11" s="1"/>
  <c r="E15" i="11" s="1"/>
  <c r="D16" i="11" s="1"/>
  <c r="E16" i="11" s="1"/>
  <c r="D17" i="11" s="1"/>
  <c r="E17" i="11" s="1"/>
  <c r="D18" i="11" s="1"/>
  <c r="E18" i="11" s="1"/>
  <c r="D19" i="11" s="1"/>
  <c r="E19" i="11" s="1"/>
  <c r="D20" i="11" s="1"/>
  <c r="E20" i="11" s="1"/>
  <c r="D21" i="11" s="1"/>
  <c r="E21" i="11" s="1"/>
  <c r="D22" i="11" s="1"/>
  <c r="E22" i="11" s="1"/>
  <c r="D23" i="11" s="1"/>
  <c r="E23" i="11" s="1"/>
  <c r="D24" i="11" s="1"/>
  <c r="E24" i="11" s="1"/>
  <c r="D25" i="11" s="1"/>
  <c r="E25" i="11" s="1"/>
  <c r="D26" i="11" s="1"/>
  <c r="E26" i="11" s="1"/>
  <c r="D27" i="11" s="1"/>
  <c r="E27" i="11" s="1"/>
  <c r="D28" i="11" s="1"/>
  <c r="E28" i="11" s="1"/>
  <c r="D29" i="11" s="1"/>
  <c r="E29" i="11" s="1"/>
  <c r="D30" i="11" s="1"/>
  <c r="E30" i="11" s="1"/>
  <c r="D31" i="11" s="1"/>
  <c r="E31" i="11" s="1"/>
  <c r="D32" i="11" s="1"/>
  <c r="E32" i="11" s="1"/>
  <c r="D33" i="11" s="1"/>
  <c r="E33" i="11" s="1"/>
  <c r="D34" i="11" s="1"/>
  <c r="E34" i="11" s="1"/>
  <c r="D35" i="11" s="1"/>
  <c r="E35" i="11" s="1"/>
  <c r="D36" i="11" s="1"/>
  <c r="E36" i="11" s="1"/>
  <c r="D37" i="11" s="1"/>
  <c r="E37" i="11" s="1"/>
  <c r="D38" i="11" s="1"/>
  <c r="E38" i="11" s="1"/>
  <c r="D39" i="11" s="1"/>
  <c r="E39" i="11" s="1"/>
  <c r="D40" i="11" s="1"/>
  <c r="E40" i="11" s="1"/>
  <c r="D41" i="11" s="1"/>
  <c r="E41" i="11" s="1"/>
  <c r="D42" i="11" s="1"/>
  <c r="E42" i="11" s="1"/>
  <c r="D43" i="11" s="1"/>
  <c r="E43" i="11" s="1"/>
  <c r="D44" i="11" s="1"/>
  <c r="E44" i="11" s="1"/>
  <c r="D45" i="11" s="1"/>
  <c r="E45" i="11" s="1"/>
  <c r="D46" i="11" s="1"/>
  <c r="E46" i="11" s="1"/>
  <c r="D47" i="11" s="1"/>
  <c r="E47" i="11" s="1"/>
  <c r="D48" i="11" s="1"/>
  <c r="E48" i="11" s="1"/>
  <c r="D49" i="11" s="1"/>
  <c r="E49" i="11" s="1"/>
  <c r="D50" i="11" s="1"/>
  <c r="E50" i="11" s="1"/>
  <c r="D51" i="11" s="1"/>
  <c r="E51" i="11" s="1"/>
  <c r="D52" i="11" s="1"/>
  <c r="E52" i="11" s="1"/>
  <c r="D53" i="11" s="1"/>
  <c r="E53" i="11" s="1"/>
  <c r="D54" i="11" s="1"/>
  <c r="E54" i="11" s="1"/>
  <c r="D55" i="11" s="1"/>
  <c r="E55" i="11" s="1"/>
  <c r="D56" i="11" s="1"/>
  <c r="E56" i="11" s="1"/>
  <c r="D57" i="11" s="1"/>
  <c r="E57" i="11" s="1"/>
  <c r="D58" i="11" s="1"/>
  <c r="E58" i="11" s="1"/>
  <c r="D59" i="11" s="1"/>
  <c r="E59" i="11" s="1"/>
  <c r="D60" i="11" s="1"/>
  <c r="E60" i="11" s="1"/>
  <c r="D61" i="11" s="1"/>
  <c r="E61" i="11" s="1"/>
  <c r="D62" i="11" s="1"/>
  <c r="E62" i="11" s="1"/>
  <c r="D63" i="11" s="1"/>
  <c r="E63" i="11" s="1"/>
  <c r="D64" i="11" s="1"/>
  <c r="E64" i="11" s="1"/>
  <c r="D65" i="11" s="1"/>
  <c r="E65" i="11" s="1"/>
  <c r="D66" i="11" s="1"/>
  <c r="E66" i="11" s="1"/>
  <c r="D67" i="11" s="1"/>
  <c r="E67" i="11" s="1"/>
  <c r="D68" i="11" s="1"/>
  <c r="E68" i="11" s="1"/>
  <c r="D69" i="11" s="1"/>
  <c r="E69" i="11" s="1"/>
  <c r="D70" i="11" s="1"/>
  <c r="E70" i="11" s="1"/>
  <c r="D71" i="11" s="1"/>
  <c r="E71" i="11" s="1"/>
  <c r="D72" i="11" s="1"/>
  <c r="E72" i="11" s="1"/>
  <c r="E8" i="11"/>
  <c r="E8" i="10"/>
  <c r="D9" i="10" s="1"/>
  <c r="E9" i="10" s="1"/>
  <c r="D10" i="10" s="1"/>
  <c r="E10" i="10" s="1"/>
  <c r="D11" i="10" s="1"/>
  <c r="E11" i="10" s="1"/>
  <c r="D12" i="10" s="1"/>
  <c r="E12" i="10" s="1"/>
  <c r="D13" i="10" s="1"/>
  <c r="E13" i="10" s="1"/>
  <c r="D14" i="10" s="1"/>
  <c r="E14" i="10" s="1"/>
  <c r="D15" i="10" s="1"/>
  <c r="E15" i="10" s="1"/>
  <c r="D16" i="10" s="1"/>
  <c r="E16" i="10" s="1"/>
  <c r="D17" i="10" s="1"/>
  <c r="E17" i="10" s="1"/>
  <c r="D18" i="10" s="1"/>
  <c r="E18" i="10" s="1"/>
  <c r="D19" i="10" s="1"/>
  <c r="E19" i="10" s="1"/>
  <c r="D20" i="10" s="1"/>
  <c r="E20" i="10" s="1"/>
  <c r="D21" i="10" s="1"/>
  <c r="E21" i="10" s="1"/>
  <c r="D22" i="10" s="1"/>
  <c r="E22" i="10" s="1"/>
  <c r="D23" i="10" s="1"/>
  <c r="E23" i="10" s="1"/>
  <c r="D24" i="10" s="1"/>
  <c r="E24" i="10" s="1"/>
  <c r="D25" i="10" s="1"/>
  <c r="E25" i="10" s="1"/>
  <c r="D26" i="10" s="1"/>
  <c r="E26" i="10" s="1"/>
  <c r="D27" i="10" s="1"/>
  <c r="E27" i="10" s="1"/>
  <c r="D28" i="10" s="1"/>
  <c r="E28" i="10" s="1"/>
  <c r="D29" i="10" s="1"/>
  <c r="E29" i="10" s="1"/>
  <c r="D30" i="10" s="1"/>
  <c r="E30" i="10" s="1"/>
  <c r="D31" i="10" s="1"/>
  <c r="E31" i="10" s="1"/>
  <c r="D32" i="10" s="1"/>
  <c r="E32" i="10" s="1"/>
  <c r="D33" i="10" s="1"/>
  <c r="E33" i="10" s="1"/>
  <c r="D34" i="10" s="1"/>
  <c r="E34" i="10" s="1"/>
  <c r="D35" i="10" s="1"/>
  <c r="E35" i="10" s="1"/>
  <c r="D36" i="10" s="1"/>
  <c r="E36" i="10" s="1"/>
  <c r="D37" i="10" s="1"/>
  <c r="E37" i="10" s="1"/>
  <c r="D38" i="10" s="1"/>
  <c r="E38" i="10" s="1"/>
  <c r="D39" i="10" s="1"/>
  <c r="E39" i="10" s="1"/>
  <c r="D40" i="10" s="1"/>
  <c r="E40" i="10" s="1"/>
  <c r="D41" i="10" s="1"/>
  <c r="E41" i="10" s="1"/>
  <c r="D42" i="10" s="1"/>
  <c r="E42" i="10" s="1"/>
  <c r="D43" i="10" s="1"/>
  <c r="E43" i="10" s="1"/>
  <c r="D44" i="10" s="1"/>
  <c r="E44" i="10" s="1"/>
  <c r="D45" i="10" s="1"/>
  <c r="E45" i="10" s="1"/>
  <c r="D46" i="10" s="1"/>
  <c r="E46" i="10" s="1"/>
  <c r="D47" i="10" s="1"/>
  <c r="E47" i="10" s="1"/>
  <c r="D48" i="10" s="1"/>
  <c r="E48" i="10" s="1"/>
  <c r="D49" i="10" s="1"/>
  <c r="E49" i="10" s="1"/>
  <c r="D50" i="10" s="1"/>
  <c r="E50" i="10" s="1"/>
  <c r="D51" i="10" s="1"/>
  <c r="E51" i="10" s="1"/>
  <c r="D52" i="10" s="1"/>
  <c r="E52" i="10" s="1"/>
  <c r="D53" i="10" s="1"/>
  <c r="E53" i="10" s="1"/>
  <c r="D54" i="10" s="1"/>
  <c r="E54" i="10" s="1"/>
  <c r="D55" i="10" s="1"/>
  <c r="E55" i="10" s="1"/>
  <c r="D56" i="10" s="1"/>
  <c r="E56" i="10" s="1"/>
  <c r="D57" i="10" s="1"/>
  <c r="E57" i="10" s="1"/>
  <c r="D58" i="10" s="1"/>
  <c r="E58" i="10" s="1"/>
  <c r="D59" i="10" s="1"/>
  <c r="E59" i="10" s="1"/>
  <c r="D60" i="10" s="1"/>
  <c r="E60" i="10" s="1"/>
  <c r="D61" i="10" s="1"/>
  <c r="E61" i="10" s="1"/>
  <c r="D62" i="10" s="1"/>
  <c r="E62" i="10" s="1"/>
  <c r="D63" i="10" s="1"/>
  <c r="E63" i="10" s="1"/>
  <c r="D64" i="10" s="1"/>
  <c r="E64" i="10" s="1"/>
  <c r="D65" i="10" s="1"/>
  <c r="E65" i="10" s="1"/>
  <c r="D66" i="10" s="1"/>
  <c r="E66" i="10" s="1"/>
  <c r="D67" i="10" s="1"/>
  <c r="E67" i="10" s="1"/>
  <c r="D68" i="10" s="1"/>
  <c r="E68" i="10" s="1"/>
  <c r="D69" i="10" s="1"/>
  <c r="E69" i="10" s="1"/>
  <c r="D70" i="10" s="1"/>
  <c r="E70" i="10" s="1"/>
  <c r="D71" i="10" s="1"/>
  <c r="E71" i="10" s="1"/>
  <c r="D72" i="10" s="1"/>
  <c r="E72" i="10" s="1"/>
  <c r="E8" i="9"/>
  <c r="D9" i="9" s="1"/>
  <c r="E9" i="9" s="1"/>
  <c r="D10" i="9" s="1"/>
  <c r="E10" i="9" s="1"/>
  <c r="D11" i="9" s="1"/>
  <c r="E11" i="9" s="1"/>
  <c r="D12" i="9" s="1"/>
  <c r="E12" i="9" s="1"/>
  <c r="D13" i="9" s="1"/>
  <c r="E13" i="9" s="1"/>
  <c r="D14" i="9" s="1"/>
  <c r="E14" i="9" s="1"/>
  <c r="D15" i="9" s="1"/>
  <c r="E15" i="9" s="1"/>
  <c r="D16" i="9" s="1"/>
  <c r="E16" i="9" s="1"/>
  <c r="D17" i="9" s="1"/>
  <c r="E17" i="9" s="1"/>
  <c r="D18" i="9" s="1"/>
  <c r="E18" i="9" s="1"/>
  <c r="D19" i="9" s="1"/>
  <c r="E19" i="9" s="1"/>
  <c r="D20" i="9" s="1"/>
  <c r="E20" i="9" s="1"/>
  <c r="D21" i="9" s="1"/>
  <c r="E21" i="9" s="1"/>
  <c r="D22" i="9" s="1"/>
  <c r="E22" i="9" s="1"/>
  <c r="D23" i="9" s="1"/>
  <c r="E23" i="9" s="1"/>
  <c r="D24" i="9" s="1"/>
  <c r="E24" i="9" s="1"/>
  <c r="D25" i="9" s="1"/>
  <c r="E25" i="9" s="1"/>
  <c r="D26" i="9" s="1"/>
  <c r="E26" i="9" s="1"/>
  <c r="D27" i="9" s="1"/>
  <c r="E27" i="9" s="1"/>
  <c r="D28" i="9" s="1"/>
  <c r="E28" i="9" s="1"/>
  <c r="D29" i="9" s="1"/>
  <c r="E29" i="9" s="1"/>
  <c r="D30" i="9" s="1"/>
  <c r="E30" i="9" s="1"/>
  <c r="D31" i="9" s="1"/>
  <c r="E31" i="9" s="1"/>
  <c r="D32" i="9" s="1"/>
  <c r="E32" i="9" s="1"/>
  <c r="D33" i="9" s="1"/>
  <c r="E33" i="9" s="1"/>
  <c r="D34" i="9" s="1"/>
  <c r="E34" i="9" s="1"/>
  <c r="D35" i="9" s="1"/>
  <c r="E35" i="9" s="1"/>
  <c r="D36" i="9" s="1"/>
  <c r="E36" i="9" s="1"/>
  <c r="D37" i="9" s="1"/>
  <c r="E37" i="9" s="1"/>
  <c r="D38" i="9" s="1"/>
  <c r="E38" i="9" s="1"/>
  <c r="D39" i="9" s="1"/>
  <c r="E39" i="9" s="1"/>
  <c r="D40" i="9" s="1"/>
  <c r="E40" i="9" s="1"/>
  <c r="D41" i="9" s="1"/>
  <c r="E41" i="9" s="1"/>
  <c r="D42" i="9" s="1"/>
  <c r="E42" i="9" s="1"/>
  <c r="D43" i="9" s="1"/>
  <c r="E43" i="9" s="1"/>
  <c r="D44" i="9" s="1"/>
  <c r="E44" i="9" s="1"/>
  <c r="D45" i="9" s="1"/>
  <c r="E45" i="9" s="1"/>
  <c r="D46" i="9" s="1"/>
  <c r="E46" i="9" s="1"/>
  <c r="D47" i="9" s="1"/>
  <c r="E47" i="9" s="1"/>
  <c r="D48" i="9" s="1"/>
  <c r="E48" i="9" s="1"/>
  <c r="D49" i="9" s="1"/>
  <c r="E49" i="9" s="1"/>
  <c r="D50" i="9" s="1"/>
  <c r="E50" i="9" s="1"/>
  <c r="D51" i="9" s="1"/>
  <c r="E51" i="9" s="1"/>
  <c r="D52" i="9" s="1"/>
  <c r="E52" i="9" s="1"/>
  <c r="D53" i="9" s="1"/>
  <c r="E53" i="9" s="1"/>
  <c r="D54" i="9" s="1"/>
  <c r="E54" i="9" s="1"/>
  <c r="D55" i="9" s="1"/>
  <c r="E55" i="9" s="1"/>
  <c r="D56" i="9" s="1"/>
  <c r="E56" i="9" s="1"/>
  <c r="D57" i="9" s="1"/>
  <c r="E57" i="9" s="1"/>
  <c r="D58" i="9" s="1"/>
  <c r="E58" i="9" s="1"/>
  <c r="D59" i="9" s="1"/>
  <c r="E59" i="9" s="1"/>
  <c r="D60" i="9" s="1"/>
  <c r="E60" i="9" s="1"/>
  <c r="D61" i="9" s="1"/>
  <c r="E61" i="9" s="1"/>
  <c r="D62" i="9" s="1"/>
  <c r="E62" i="9" s="1"/>
  <c r="D63" i="9" s="1"/>
  <c r="E63" i="9" s="1"/>
  <c r="D64" i="9" s="1"/>
  <c r="E64" i="9" s="1"/>
  <c r="D65" i="9" s="1"/>
  <c r="E65" i="9" s="1"/>
  <c r="D66" i="9" s="1"/>
  <c r="E66" i="9" s="1"/>
  <c r="D67" i="9" s="1"/>
  <c r="E67" i="9" s="1"/>
  <c r="D68" i="9" s="1"/>
  <c r="E68" i="9" s="1"/>
  <c r="D69" i="9" s="1"/>
  <c r="E69" i="9" s="1"/>
  <c r="E8" i="8"/>
  <c r="D9" i="8" s="1"/>
  <c r="E9" i="8" s="1"/>
  <c r="D10" i="8" s="1"/>
  <c r="E10" i="8" s="1"/>
  <c r="D11" i="8" s="1"/>
  <c r="E11" i="8" s="1"/>
  <c r="D12" i="8" s="1"/>
  <c r="E12" i="8" s="1"/>
  <c r="D13" i="8" s="1"/>
  <c r="E13" i="8" s="1"/>
  <c r="D14" i="8" s="1"/>
  <c r="E14" i="8" s="1"/>
  <c r="D15" i="8" s="1"/>
  <c r="E15" i="8" s="1"/>
  <c r="D16" i="8" s="1"/>
  <c r="E16" i="8" s="1"/>
  <c r="D17" i="8" s="1"/>
  <c r="E17" i="8" s="1"/>
  <c r="D18" i="8" s="1"/>
  <c r="E18" i="8" s="1"/>
  <c r="D19" i="8" s="1"/>
  <c r="E19" i="8" s="1"/>
  <c r="D20" i="8" s="1"/>
  <c r="E20" i="8" s="1"/>
  <c r="D21" i="8" s="1"/>
  <c r="E21" i="8" s="1"/>
  <c r="D22" i="8" s="1"/>
  <c r="E22" i="8" s="1"/>
  <c r="D23" i="8" s="1"/>
  <c r="E23" i="8" s="1"/>
  <c r="D24" i="8" s="1"/>
  <c r="E24" i="8" s="1"/>
  <c r="D25" i="8" s="1"/>
  <c r="E25" i="8" s="1"/>
  <c r="D26" i="8" s="1"/>
  <c r="E26" i="8" s="1"/>
  <c r="D27" i="8" s="1"/>
  <c r="E27" i="8" s="1"/>
  <c r="D28" i="8" s="1"/>
  <c r="E28" i="8" s="1"/>
  <c r="D29" i="8" s="1"/>
  <c r="E29" i="8" s="1"/>
  <c r="D30" i="8" s="1"/>
  <c r="E30" i="8" s="1"/>
  <c r="D31" i="8" s="1"/>
  <c r="E31" i="8" s="1"/>
  <c r="D32" i="8" s="1"/>
  <c r="E32" i="8" s="1"/>
  <c r="D33" i="8" s="1"/>
  <c r="E33" i="8" s="1"/>
  <c r="D34" i="8" s="1"/>
  <c r="E34" i="8" s="1"/>
  <c r="D35" i="8" s="1"/>
  <c r="E35" i="8" s="1"/>
  <c r="D36" i="8" s="1"/>
  <c r="E36" i="8" s="1"/>
  <c r="D37" i="8" s="1"/>
  <c r="E37" i="8" s="1"/>
  <c r="D38" i="8" s="1"/>
  <c r="E38" i="8" s="1"/>
  <c r="D39" i="8" s="1"/>
  <c r="E39" i="8" s="1"/>
  <c r="D40" i="8" s="1"/>
  <c r="E40" i="8" s="1"/>
  <c r="D41" i="8" s="1"/>
  <c r="E41" i="8" s="1"/>
  <c r="D42" i="8" s="1"/>
  <c r="E42" i="8" s="1"/>
  <c r="D43" i="8" s="1"/>
  <c r="E43" i="8" s="1"/>
  <c r="D44" i="8" s="1"/>
  <c r="E44" i="8" s="1"/>
  <c r="D45" i="8" s="1"/>
  <c r="E45" i="8" s="1"/>
  <c r="D46" i="8" s="1"/>
  <c r="E46" i="8" s="1"/>
  <c r="D47" i="8" s="1"/>
  <c r="E47" i="8" s="1"/>
  <c r="D48" i="8" s="1"/>
  <c r="E48" i="8" s="1"/>
  <c r="D49" i="8" s="1"/>
  <c r="E49" i="8" s="1"/>
  <c r="D50" i="8" s="1"/>
  <c r="E50" i="8" s="1"/>
  <c r="D51" i="8" s="1"/>
  <c r="E51" i="8" s="1"/>
  <c r="D52" i="8" s="1"/>
  <c r="E52" i="8" s="1"/>
  <c r="D53" i="8" s="1"/>
  <c r="E53" i="8" s="1"/>
  <c r="D54" i="8" s="1"/>
  <c r="E54" i="8" s="1"/>
  <c r="D55" i="8" s="1"/>
  <c r="E55" i="8" s="1"/>
  <c r="D56" i="8" s="1"/>
  <c r="E56" i="8" s="1"/>
  <c r="D57" i="8" s="1"/>
  <c r="E57" i="8" s="1"/>
  <c r="D58" i="8" s="1"/>
  <c r="E58" i="8" s="1"/>
  <c r="D59" i="8" s="1"/>
  <c r="E59" i="8" s="1"/>
  <c r="D60" i="8" s="1"/>
  <c r="E60" i="8" s="1"/>
  <c r="D61" i="8" s="1"/>
  <c r="E61" i="8" s="1"/>
  <c r="D62" i="8" s="1"/>
  <c r="E62" i="8" s="1"/>
  <c r="D63" i="8" s="1"/>
  <c r="E63" i="8" s="1"/>
  <c r="D64" i="8" s="1"/>
  <c r="E64" i="8" s="1"/>
  <c r="D65" i="8" s="1"/>
  <c r="E65" i="8" s="1"/>
  <c r="D66" i="8" s="1"/>
  <c r="E66" i="8" s="1"/>
  <c r="D67" i="8" s="1"/>
  <c r="E67" i="8" s="1"/>
  <c r="D68" i="8" s="1"/>
  <c r="E68" i="8" s="1"/>
  <c r="D69" i="8" s="1"/>
  <c r="E69" i="8" s="1"/>
  <c r="E8" i="7"/>
  <c r="D9" i="7" s="1"/>
  <c r="E9" i="7" s="1"/>
  <c r="D10" i="7" s="1"/>
  <c r="E10" i="7" s="1"/>
  <c r="D11" i="7" s="1"/>
  <c r="E11" i="7" s="1"/>
  <c r="D12" i="7" s="1"/>
  <c r="E12" i="7" s="1"/>
  <c r="D13" i="7" s="1"/>
  <c r="E13" i="7" s="1"/>
  <c r="D14" i="7" s="1"/>
  <c r="E14" i="7" s="1"/>
  <c r="D15" i="7" s="1"/>
  <c r="E15" i="7" s="1"/>
  <c r="D16" i="7" s="1"/>
  <c r="E16" i="7" s="1"/>
  <c r="D17" i="7" s="1"/>
  <c r="E17" i="7" s="1"/>
  <c r="D18" i="7" s="1"/>
  <c r="E18" i="7" s="1"/>
  <c r="D19" i="7" s="1"/>
  <c r="E19" i="7" s="1"/>
  <c r="D20" i="7" s="1"/>
  <c r="E20" i="7" s="1"/>
  <c r="D21" i="7" s="1"/>
  <c r="E21" i="7" s="1"/>
  <c r="D22" i="7" s="1"/>
  <c r="E22" i="7" s="1"/>
  <c r="D23" i="7" s="1"/>
  <c r="E23" i="7" s="1"/>
  <c r="D24" i="7" s="1"/>
  <c r="E24" i="7" s="1"/>
  <c r="D25" i="7" s="1"/>
  <c r="E25" i="7" s="1"/>
  <c r="D26" i="7" s="1"/>
  <c r="E26" i="7" s="1"/>
  <c r="D27" i="7" s="1"/>
  <c r="E27" i="7" s="1"/>
  <c r="D28" i="7" s="1"/>
  <c r="E28" i="7" s="1"/>
  <c r="D29" i="7" s="1"/>
  <c r="E29" i="7" s="1"/>
  <c r="D30" i="7" s="1"/>
  <c r="E30" i="7" s="1"/>
  <c r="D31" i="7" s="1"/>
  <c r="E31" i="7" s="1"/>
  <c r="D32" i="7" s="1"/>
  <c r="E32" i="7" s="1"/>
  <c r="D33" i="7" s="1"/>
  <c r="E33" i="7" s="1"/>
  <c r="D34" i="7" s="1"/>
  <c r="E34" i="7" s="1"/>
  <c r="D35" i="7" s="1"/>
  <c r="E35" i="7" s="1"/>
  <c r="D36" i="7" s="1"/>
  <c r="E36" i="7" s="1"/>
  <c r="D37" i="7" s="1"/>
  <c r="E37" i="7" s="1"/>
  <c r="D38" i="7" s="1"/>
  <c r="E38" i="7" s="1"/>
  <c r="D39" i="7" s="1"/>
  <c r="E39" i="7" s="1"/>
  <c r="D40" i="7" s="1"/>
  <c r="E40" i="7" s="1"/>
  <c r="D41" i="7" s="1"/>
  <c r="E41" i="7" s="1"/>
  <c r="D42" i="7" s="1"/>
  <c r="E42" i="7" s="1"/>
  <c r="D43" i="7" s="1"/>
  <c r="E43" i="7" s="1"/>
  <c r="D44" i="7" s="1"/>
  <c r="E44" i="7" s="1"/>
  <c r="D45" i="7" s="1"/>
  <c r="E45" i="7" s="1"/>
  <c r="D46" i="7" s="1"/>
  <c r="E46" i="7" s="1"/>
  <c r="D47" i="7" s="1"/>
  <c r="E47" i="7" s="1"/>
  <c r="D48" i="7" s="1"/>
  <c r="E48" i="7" s="1"/>
  <c r="D49" i="7" s="1"/>
  <c r="E49" i="7" s="1"/>
  <c r="D50" i="7" s="1"/>
  <c r="E50" i="7" s="1"/>
  <c r="D51" i="7" s="1"/>
  <c r="E51" i="7" s="1"/>
  <c r="D52" i="7" s="1"/>
  <c r="E52" i="7" s="1"/>
  <c r="D53" i="7" s="1"/>
  <c r="E53" i="7" s="1"/>
  <c r="D54" i="7" s="1"/>
  <c r="E54" i="7" s="1"/>
  <c r="D55" i="7" s="1"/>
  <c r="E55" i="7" s="1"/>
  <c r="D56" i="7" s="1"/>
  <c r="E56" i="7" s="1"/>
  <c r="D57" i="7" s="1"/>
  <c r="E57" i="7" s="1"/>
  <c r="D58" i="7" s="1"/>
  <c r="E58" i="7" s="1"/>
  <c r="D59" i="7" s="1"/>
  <c r="E59" i="7" s="1"/>
  <c r="D60" i="7" s="1"/>
  <c r="E60" i="7" s="1"/>
  <c r="D61" i="7" s="1"/>
  <c r="E61" i="7" s="1"/>
  <c r="D62" i="7" s="1"/>
  <c r="E62" i="7" s="1"/>
  <c r="D63" i="7" s="1"/>
  <c r="E63" i="7" s="1"/>
  <c r="D64" i="7" s="1"/>
  <c r="E64" i="7" s="1"/>
  <c r="D65" i="7" s="1"/>
  <c r="E65" i="7" s="1"/>
  <c r="D66" i="7" s="1"/>
  <c r="E66" i="7" s="1"/>
  <c r="D67" i="7" s="1"/>
  <c r="E67" i="7" s="1"/>
  <c r="D68" i="7" s="1"/>
  <c r="E68" i="7" s="1"/>
  <c r="D69" i="7" s="1"/>
  <c r="E69" i="7" s="1"/>
  <c r="E8" i="5"/>
  <c r="D9" i="5" s="1"/>
  <c r="E9" i="5" s="1"/>
  <c r="D10" i="5" s="1"/>
  <c r="E10" i="5" s="1"/>
  <c r="D11" i="5" s="1"/>
  <c r="E11" i="5" s="1"/>
  <c r="D12" i="5" s="1"/>
  <c r="E12" i="5" s="1"/>
  <c r="D13" i="5" s="1"/>
  <c r="E13" i="5" s="1"/>
  <c r="D14" i="5" s="1"/>
  <c r="E14" i="5" s="1"/>
  <c r="D15" i="5" s="1"/>
  <c r="E15" i="5" s="1"/>
  <c r="D16" i="5" s="1"/>
  <c r="E16" i="5" s="1"/>
  <c r="D17" i="5" s="1"/>
  <c r="E17" i="5" s="1"/>
  <c r="D18" i="5" s="1"/>
  <c r="E18" i="5" s="1"/>
  <c r="D19" i="5" s="1"/>
  <c r="E19" i="5" s="1"/>
  <c r="D20" i="5" s="1"/>
  <c r="E20" i="5" s="1"/>
  <c r="D21" i="5" s="1"/>
  <c r="E21" i="5" s="1"/>
  <c r="D22" i="5" s="1"/>
  <c r="E22" i="5" s="1"/>
  <c r="D23" i="5" s="1"/>
  <c r="E23" i="5" s="1"/>
  <c r="D24" i="5" s="1"/>
  <c r="E24" i="5" s="1"/>
  <c r="D25" i="5" s="1"/>
  <c r="E25" i="5" s="1"/>
  <c r="D26" i="5" s="1"/>
  <c r="E26" i="5" s="1"/>
  <c r="D27" i="5" s="1"/>
  <c r="E27" i="5" s="1"/>
  <c r="D28" i="5" s="1"/>
  <c r="E28" i="5" s="1"/>
  <c r="D29" i="5" s="1"/>
  <c r="E29" i="5" s="1"/>
  <c r="D30" i="5" s="1"/>
  <c r="E30" i="5" s="1"/>
  <c r="D31" i="5" s="1"/>
  <c r="E31" i="5" s="1"/>
  <c r="D32" i="5" s="1"/>
  <c r="E32" i="5" s="1"/>
  <c r="D33" i="5" s="1"/>
  <c r="E33" i="5" s="1"/>
  <c r="D34" i="5" s="1"/>
  <c r="E34" i="5" s="1"/>
  <c r="D35" i="5" s="1"/>
  <c r="E35" i="5" s="1"/>
  <c r="D36" i="5" s="1"/>
  <c r="E36" i="5" s="1"/>
  <c r="D37" i="5" s="1"/>
  <c r="E37" i="5" s="1"/>
  <c r="D38" i="5" s="1"/>
  <c r="E38" i="5" s="1"/>
  <c r="D39" i="5" s="1"/>
  <c r="E39" i="5" s="1"/>
  <c r="D40" i="5" s="1"/>
  <c r="E40" i="5" s="1"/>
  <c r="D41" i="5" s="1"/>
  <c r="E41" i="5" s="1"/>
  <c r="D42" i="5" s="1"/>
  <c r="E42" i="5" s="1"/>
  <c r="D43" i="5" s="1"/>
  <c r="E43" i="5" s="1"/>
  <c r="D44" i="5" s="1"/>
  <c r="E44" i="5" s="1"/>
  <c r="D45" i="5" s="1"/>
  <c r="E45" i="5" s="1"/>
  <c r="D46" i="5" s="1"/>
  <c r="E46" i="5" s="1"/>
  <c r="D47" i="5" s="1"/>
  <c r="E47" i="5" s="1"/>
  <c r="D48" i="5" s="1"/>
  <c r="E48" i="5" s="1"/>
  <c r="D49" i="5" s="1"/>
  <c r="E49" i="5" s="1"/>
  <c r="D50" i="5" s="1"/>
  <c r="E50" i="5" s="1"/>
  <c r="D51" i="5" s="1"/>
  <c r="E51" i="5" s="1"/>
  <c r="D52" i="5" s="1"/>
  <c r="E52" i="5" s="1"/>
  <c r="D53" i="5" s="1"/>
  <c r="E53" i="5" s="1"/>
  <c r="D54" i="5" s="1"/>
  <c r="E54" i="5" s="1"/>
  <c r="D55" i="5" s="1"/>
  <c r="E55" i="5" s="1"/>
  <c r="D56" i="5" s="1"/>
  <c r="E56" i="5" s="1"/>
  <c r="D57" i="5" s="1"/>
  <c r="E57" i="5" s="1"/>
  <c r="D58" i="5" s="1"/>
  <c r="E58" i="5" s="1"/>
  <c r="D59" i="5" s="1"/>
  <c r="E59" i="5" s="1"/>
  <c r="D60" i="5" s="1"/>
  <c r="E60" i="5" s="1"/>
  <c r="D61" i="5" s="1"/>
  <c r="E61" i="5" s="1"/>
  <c r="D62" i="5" s="1"/>
  <c r="E62" i="5" s="1"/>
  <c r="D63" i="5" s="1"/>
  <c r="E63" i="5" s="1"/>
  <c r="D64" i="5" s="1"/>
  <c r="E64" i="5" s="1"/>
  <c r="D65" i="5" s="1"/>
  <c r="E65" i="5" s="1"/>
  <c r="D66" i="5" s="1"/>
  <c r="E66" i="5" s="1"/>
  <c r="D67" i="5" s="1"/>
  <c r="E67" i="5" s="1"/>
  <c r="D68" i="5" s="1"/>
  <c r="E68" i="5" s="1"/>
  <c r="D69" i="5" s="1"/>
  <c r="E69" i="5" s="1"/>
  <c r="D70" i="5" s="1"/>
  <c r="E70" i="5" s="1"/>
  <c r="D71" i="5" s="1"/>
  <c r="E71" i="5" s="1"/>
  <c r="D72" i="5" s="1"/>
  <c r="E72" i="5" s="1"/>
  <c r="D71" i="9" l="1"/>
  <c r="E71" i="9" s="1"/>
  <c r="D70" i="9"/>
  <c r="E70" i="9" s="1"/>
  <c r="D72" i="9" s="1"/>
  <c r="E72" i="9" s="1"/>
  <c r="D71" i="8"/>
  <c r="E71" i="8" s="1"/>
  <c r="D70" i="8"/>
  <c r="E70" i="8" s="1"/>
  <c r="D72" i="8" s="1"/>
  <c r="E72" i="8" s="1"/>
  <c r="D71" i="7"/>
  <c r="E71" i="7" s="1"/>
  <c r="D70" i="7"/>
  <c r="E70" i="7" s="1"/>
  <c r="D72" i="7" s="1"/>
  <c r="E72" i="7" s="1"/>
</calcChain>
</file>

<file path=xl/sharedStrings.xml><?xml version="1.0" encoding="utf-8"?>
<sst xmlns="http://schemas.openxmlformats.org/spreadsheetml/2006/main" count="3851" uniqueCount="499">
  <si>
    <t>FORMATO 17 MAYO 2021</t>
  </si>
  <si>
    <t>Archivo de Transferencia de Movimientos de DERIVADOS</t>
  </si>
  <si>
    <t>Nombre del archivo: MDddmmyy.txt</t>
  </si>
  <si>
    <t>El archivo MD tiene como objetivo recibir las operaciones que se realicen con instrumentos derivados. En el archivo se reciben los inicios y compensaciones o novaciones de futuros, forwards y opciones, las compensaciones de swaps. También se incluyen aquí los flujos de swaps. Solo los inicios de swaps se envían en otro archivo por separado, el SW.</t>
  </si>
  <si>
    <t>Posición</t>
  </si>
  <si>
    <t>Inicial</t>
  </si>
  <si>
    <t>Final</t>
  </si>
  <si>
    <t>Long</t>
  </si>
  <si>
    <t>Formato</t>
  </si>
  <si>
    <t>Derivado</t>
  </si>
  <si>
    <t>OBSERVACIONES</t>
  </si>
  <si>
    <t>USO</t>
  </si>
  <si>
    <t>MERCADO</t>
  </si>
  <si>
    <t>Alfanumérico</t>
  </si>
  <si>
    <t>F, W, O, S</t>
  </si>
  <si>
    <t>Es la clave para diferenciar a que mercado pertenece el derivado del que se hace la operación. 1=MEXDER, 2=CME, 3=CBOE, 4=CBOT, 5=OTC 6=LIFE 7=OSAKA 8=TOKIO 9=MONTREAL 10=EUX 11=BFO 12=MNP  13=MAT  14=MFM  15=MIL  16=SIMEX 17=WARRANTS</t>
  </si>
  <si>
    <t>sí</t>
  </si>
  <si>
    <t xml:space="preserve">CLAVE DE INSTRUMENTO </t>
  </si>
  <si>
    <t>Tipo de Valor o Clave BMV del derivado.</t>
  </si>
  <si>
    <t>EMISORA</t>
  </si>
  <si>
    <t>Clave de la Emisora</t>
  </si>
  <si>
    <t>SERIE</t>
  </si>
  <si>
    <t>Serie de la Emisora</t>
  </si>
  <si>
    <t>CUPON</t>
  </si>
  <si>
    <t>No aplica</t>
  </si>
  <si>
    <t>NO</t>
  </si>
  <si>
    <t>FECHA DE OPERACION</t>
  </si>
  <si>
    <t>Date</t>
  </si>
  <si>
    <t>Fecha en que se pactó la Operación en formato AAAAMMDD. Debe ser la fecha del archivo de transferencia.</t>
  </si>
  <si>
    <t>FECHA DE LIQUIDACION</t>
  </si>
  <si>
    <t>Fecha en la que se Liquida la Operación en formato AAAAMMDD. Para inicios de futuros, es la fecha en la que se afectan los excedentes por los pagos de comisión, en compensaciones o novaciones, es la fecha en la que se recibe o paga la utilidad/pérdida de la operación.</t>
  </si>
  <si>
    <t>CLAVE DE MOVIMIENTO</t>
  </si>
  <si>
    <r>
      <t>C</t>
    </r>
    <r>
      <rPr>
        <sz val="9"/>
        <rFont val="USALight"/>
      </rPr>
      <t xml:space="preserve">  Compras (Larga)  </t>
    </r>
    <r>
      <rPr>
        <b/>
        <sz val="9"/>
        <rFont val="USALight"/>
      </rPr>
      <t>V</t>
    </r>
    <r>
      <rPr>
        <sz val="9"/>
        <rFont val="USALight"/>
      </rPr>
      <t xml:space="preserve">  Ventas (Corto)   </t>
    </r>
    <r>
      <rPr>
        <b/>
        <sz val="9"/>
        <rFont val="USALight"/>
      </rPr>
      <t xml:space="preserve">P </t>
    </r>
    <r>
      <rPr>
        <sz val="9"/>
        <rFont val="USALight"/>
      </rPr>
      <t xml:space="preserve"> Pago o flujo de cupón</t>
    </r>
  </si>
  <si>
    <t>TIPO DE MOVIMIENTO</t>
  </si>
  <si>
    <r>
      <t>A</t>
    </r>
    <r>
      <rPr>
        <sz val="9"/>
        <rFont val="USALight"/>
      </rPr>
      <t xml:space="preserve">  Apertura   </t>
    </r>
    <r>
      <rPr>
        <b/>
        <sz val="9"/>
        <rFont val="USALight"/>
      </rPr>
      <t>C</t>
    </r>
    <r>
      <rPr>
        <sz val="9"/>
        <rFont val="USALight"/>
      </rPr>
      <t xml:space="preserve">  Compensación   </t>
    </r>
    <r>
      <rPr>
        <b/>
        <sz val="9"/>
        <rFont val="USALight"/>
      </rPr>
      <t>E/R</t>
    </r>
    <r>
      <rPr>
        <sz val="9"/>
        <rFont val="USALight"/>
      </rPr>
      <t xml:space="preserve">  Pata a Entregar o Recibir en Pagos de cupón </t>
    </r>
  </si>
  <si>
    <t>CLAVE DEL PROVEEDOR</t>
  </si>
  <si>
    <t>Clave del Proveedor o Contraparte</t>
  </si>
  <si>
    <t>NUMERO DE CONTRATOS</t>
  </si>
  <si>
    <t>Numérico 14,0</t>
  </si>
  <si>
    <t>F, W, O</t>
  </si>
  <si>
    <t xml:space="preserve">Número de Contratos </t>
  </si>
  <si>
    <t>TAMAÑO DEL CONTRATO</t>
  </si>
  <si>
    <t>Numérico 16</t>
  </si>
  <si>
    <t>Tamaño del Contrato</t>
  </si>
  <si>
    <t>PRECIO O TASA PACTADA</t>
  </si>
  <si>
    <t>Numérico 8,6</t>
  </si>
  <si>
    <r>
      <t xml:space="preserve">Precio o Tasa Pactados en el movimiento. </t>
    </r>
    <r>
      <rPr>
        <b/>
        <sz val="9"/>
        <rFont val="USALight"/>
      </rPr>
      <t>Tasa Nuevo cupón en Pagos de cupón</t>
    </r>
  </si>
  <si>
    <t>PRECIO O TASA ORIGINAL</t>
  </si>
  <si>
    <r>
      <t xml:space="preserve">Precio o Tasa Pactados originales (sólo en compensaciones). </t>
    </r>
    <r>
      <rPr>
        <b/>
        <sz val="9"/>
        <rFont val="USALight"/>
      </rPr>
      <t>Tasa del cupón que se paga</t>
    </r>
  </si>
  <si>
    <t>FECHA DE APERTURA ORIGINAL</t>
  </si>
  <si>
    <t>Se usa en compensaciones. Fecha de operación original de derivado que se compensa.</t>
  </si>
  <si>
    <t>TIPO DE CAMBIO DE LA OPERACION</t>
  </si>
  <si>
    <t>Numérico 11,6</t>
  </si>
  <si>
    <t>Tipo de cambio de la operación</t>
  </si>
  <si>
    <t>ESTRUCTURA DE DIVISAS PREC/TASA</t>
  </si>
  <si>
    <t>Según catálogo de Consar</t>
  </si>
  <si>
    <t>CTD</t>
  </si>
  <si>
    <t>F, W</t>
  </si>
  <si>
    <t>Cheapest to Delivery</t>
  </si>
  <si>
    <t>PRECIO CTD</t>
  </si>
  <si>
    <t>Numérico 3,6</t>
  </si>
  <si>
    <t>Precio del Cheapest to Delivery</t>
  </si>
  <si>
    <t>TIPO DE ENTREGA</t>
  </si>
  <si>
    <t>F Física  D Diferenciales</t>
  </si>
  <si>
    <t xml:space="preserve">NUMERO DE OPERACIÓN </t>
  </si>
  <si>
    <t>CONSECUTIVO PV</t>
  </si>
  <si>
    <t xml:space="preserve">MARGEN SOCIO LIQ </t>
  </si>
  <si>
    <t>Numérico 16,2</t>
  </si>
  <si>
    <t>En pesos</t>
  </si>
  <si>
    <t xml:space="preserve">MARGEN SOCIO OPE </t>
  </si>
  <si>
    <t>IMPORTE DE LA COMISION</t>
  </si>
  <si>
    <t>IVA S/COMISION TOTAL</t>
  </si>
  <si>
    <t>OBSERVACIONES ESPECIALES</t>
  </si>
  <si>
    <t>Sin caracteres especiales</t>
  </si>
  <si>
    <t>CLAVE DE PIZARRA SIEFORE</t>
  </si>
  <si>
    <t>Clave de Pizarra de la Siefore con la que se hizo la operación.</t>
  </si>
  <si>
    <t>TASA VALOR PRESENTE / FIJA FUT. SWAPS</t>
  </si>
  <si>
    <t>Tasa Valor Presente (sólo en compensaciones de Fwds) / Tasa Fija en Futuros Swaps</t>
  </si>
  <si>
    <t>UTIL/PÉRD. VALOR PRESENTE / MONTO CUPON</t>
  </si>
  <si>
    <t>W, O, S</t>
  </si>
  <si>
    <t xml:space="preserve">Monto de Utilidad / Pérdida Valor Presente. Monto pago/cobro cupón en SWAPS. (Monto con I.S.R.) </t>
  </si>
  <si>
    <t>IMPORTE DE LA PRIMA</t>
  </si>
  <si>
    <t>O</t>
  </si>
  <si>
    <t>En la moneda original</t>
  </si>
  <si>
    <t>CLAVE LIQUIDACION</t>
  </si>
  <si>
    <t>Numérico</t>
  </si>
  <si>
    <t xml:space="preserve">0=Hoy  1=24hrs  2=48hrs  </t>
  </si>
  <si>
    <t>CLAVE CONSAR CONTRAPARTE</t>
  </si>
  <si>
    <t>Justificado a la izquierda</t>
  </si>
  <si>
    <t>NO. CONTRATO CONTRAPARTE FRONT</t>
  </si>
  <si>
    <t>TIPO DE INSTRUMENTO</t>
  </si>
  <si>
    <t>Consultar tabla adjunta</t>
  </si>
  <si>
    <t>TIPO DE CONCERTACIÓN</t>
  </si>
  <si>
    <r>
      <t>(T)</t>
    </r>
    <r>
      <rPr>
        <sz val="9"/>
        <rFont val="USALight"/>
      </rPr>
      <t xml:space="preserve">elefónica  /  </t>
    </r>
    <r>
      <rPr>
        <b/>
        <sz val="9"/>
        <rFont val="USALight"/>
      </rPr>
      <t>(E)</t>
    </r>
    <r>
      <rPr>
        <sz val="9"/>
        <rFont val="USALight"/>
      </rPr>
      <t>lectrónica</t>
    </r>
  </si>
  <si>
    <t>COTIZA EN PRECIO/TASA</t>
  </si>
  <si>
    <r>
      <t>(P)</t>
    </r>
    <r>
      <rPr>
        <sz val="9"/>
        <rFont val="USALight"/>
      </rPr>
      <t xml:space="preserve">recio  /   </t>
    </r>
    <r>
      <rPr>
        <b/>
        <sz val="9"/>
        <rFont val="USALight"/>
      </rPr>
      <t>(T)</t>
    </r>
    <r>
      <rPr>
        <sz val="9"/>
        <rFont val="USALight"/>
      </rPr>
      <t>asa</t>
    </r>
  </si>
  <si>
    <t>PLAZO REFERENCIA TASA</t>
  </si>
  <si>
    <t>Cuando cotiza en tasa</t>
  </si>
  <si>
    <t>FECHA VENCIMIENTO EMISORA</t>
  </si>
  <si>
    <t>Fecha</t>
  </si>
  <si>
    <t>En formato AAAAMMDD (Ultimo día de negociación)</t>
  </si>
  <si>
    <t>FECHA LIQUIDACIÓN EMISORA</t>
  </si>
  <si>
    <t>Fecha de Liquidación AAAAMMDD del Vencimiento</t>
  </si>
  <si>
    <t>DIVISA SUBYACENTE</t>
  </si>
  <si>
    <t>DIVISA TAMAÑO CONTRATO</t>
  </si>
  <si>
    <t>TIPO DE OPCIÓN</t>
  </si>
  <si>
    <t>Consultar tabla adjunta (En blanco para Futuros, Forwards, Swaps)</t>
  </si>
  <si>
    <t>SUBCLASE DE OPCIÓN</t>
  </si>
  <si>
    <t>FOLIO DERIVADO FRONT</t>
  </si>
  <si>
    <t>F,W,O,S</t>
  </si>
  <si>
    <t>Folio asignado por el Front a esa posición de derivados</t>
  </si>
  <si>
    <t>NOCIONAL ORIGINAL</t>
  </si>
  <si>
    <t>Numérico 12,2</t>
  </si>
  <si>
    <t>S</t>
  </si>
  <si>
    <t>Nocional original swaps</t>
  </si>
  <si>
    <t>FOLIO CONFIRMACIÓN CONTRAPARTE</t>
  </si>
  <si>
    <t>Folio Confirmación Contraparte</t>
  </si>
  <si>
    <t>I.S.R. A RETENER</t>
  </si>
  <si>
    <t>W,S</t>
  </si>
  <si>
    <t>I.S.R. a retener. Sólo en pagos Swaps, Forwards (Compensaciones y flujos)</t>
  </si>
  <si>
    <t>DELTA PARA COBERTURA</t>
  </si>
  <si>
    <t>Numérico 2,6</t>
  </si>
  <si>
    <t>Delta calculada por el área de Inversiones y riesgos con fines de cobertura</t>
  </si>
  <si>
    <t>FOLIO COBERTURA DIVISAS</t>
  </si>
  <si>
    <t>Para operaciones de cobertura, es un folio para ligar a todas las operaciones que dan esa cobertura.</t>
  </si>
  <si>
    <t>DIVISA DE LIQUIDACION</t>
  </si>
  <si>
    <t>CLAVE SOCIO OPERADOR</t>
  </si>
  <si>
    <t>F,O</t>
  </si>
  <si>
    <t>CLAVE CONSAR SOCIO OPERADOR</t>
  </si>
  <si>
    <t>NO. CONTRATO SOCIO OPERADOR</t>
  </si>
  <si>
    <t>Numérico 8,7</t>
  </si>
  <si>
    <t>Precio o Tasa Pactados en el movimiento. Tasa del Nuevo cupón en Pagos de cupón de swaps.</t>
  </si>
  <si>
    <t>SÍ</t>
  </si>
  <si>
    <t>Precio o Tasa Pactados originales (sólo en compensaciones). Tasa del cupón del swap que se paga</t>
  </si>
  <si>
    <t>CONSECUTIVO PROVEEDOR PRECIOS</t>
  </si>
  <si>
    <t>Consecutivo del Proveedor de Precios</t>
  </si>
  <si>
    <t>FOLIO ESTRATEGIA DERIVADOS</t>
  </si>
  <si>
    <t>Si la operación pertenece a una estrategia de derivados, se le debe asignar un folio. Justificado a la derecha</t>
  </si>
  <si>
    <t>FOLIO ESTRATEGIA DERIVADOS ANTERIOR</t>
  </si>
  <si>
    <t>Cuando se compensa un derivado que pertence a una estrategia, se le debe asignar un nuevo folio. Folio anterior a la compensación. Justificado a la derecha</t>
  </si>
  <si>
    <t>CLAVE CONSAR CAMARA COMPENSACION</t>
  </si>
  <si>
    <t>DIVISA LIQUIDACIÓN PRIMA</t>
  </si>
  <si>
    <t>TIPO CAMBIO LIQUIDACIÓN PRIMA</t>
  </si>
  <si>
    <t>Tipo de cambio de la prima</t>
  </si>
  <si>
    <t>UNIQUE TRADE (O SWAP) IDENTIFIER</t>
  </si>
  <si>
    <t>Clave del Unique Trade o Swap Identifier de la Operación</t>
  </si>
  <si>
    <t>BLOOMBERG TICKER</t>
  </si>
  <si>
    <t>Clave del Bloomberg Ticker</t>
  </si>
  <si>
    <t>ID POSICION</t>
  </si>
  <si>
    <t>Identificador único de posición</t>
  </si>
  <si>
    <t>Se deben incluir:</t>
  </si>
  <si>
    <t>- Inicios de Operaciones de Futuros, Forwards y Opciones</t>
  </si>
  <si>
    <t>- Compensaciones, Novaciones o Vencimientos de todos los derivados (Futuros, Forwards, Opciones y Swaps).</t>
  </si>
  <si>
    <t>- Flujos de Swaps o Pagos de Cupones (De patas largas y cortas).</t>
  </si>
  <si>
    <t>En caso de que los datos Alfanuméricos no abarquen el total de la longitud del campo, deberán rellenarse con espacios en blanco.</t>
  </si>
  <si>
    <t>En caso de que los datos numéricos no abarquen el total de la longitud del campo, deberán rellenarse con espacios en blanco.</t>
  </si>
  <si>
    <t>TIPOS DE INSTRUMENTO</t>
  </si>
  <si>
    <t>TIPO DE DIVISA</t>
  </si>
  <si>
    <t>01</t>
  </si>
  <si>
    <t>Futuro de Tasas</t>
  </si>
  <si>
    <t>Peso</t>
  </si>
  <si>
    <t>Pesos,MXN, 1,</t>
  </si>
  <si>
    <t>02</t>
  </si>
  <si>
    <t>Futuro de UDIS</t>
  </si>
  <si>
    <t>Dólar americano</t>
  </si>
  <si>
    <t>D�lares,USD, 3,*C_MXPUSD_FIX</t>
  </si>
  <si>
    <t>03</t>
  </si>
  <si>
    <t>Futuro de Divisas</t>
  </si>
  <si>
    <t>UDIS</t>
  </si>
  <si>
    <t>Udis,MXV, 2,</t>
  </si>
  <si>
    <t>04</t>
  </si>
  <si>
    <t>Futuro de Bonos</t>
  </si>
  <si>
    <t>06</t>
  </si>
  <si>
    <t>Yen</t>
  </si>
  <si>
    <t>Yenes,JPY, 5,*C_MXPJPY_V48</t>
  </si>
  <si>
    <t>05</t>
  </si>
  <si>
    <t>Futuro sobre Indices Accionarios</t>
  </si>
  <si>
    <t>07</t>
  </si>
  <si>
    <t>Euro</t>
  </si>
  <si>
    <t>Euros,EUR, 4,*C_MXPEUR_V48</t>
  </si>
  <si>
    <t>Futuro sobre Acciones</t>
  </si>
  <si>
    <t>08</t>
  </si>
  <si>
    <t>Dólar Australiano</t>
  </si>
  <si>
    <t>D�lar Australiano,AUD, 6,*C_MXPAUD_V48</t>
  </si>
  <si>
    <t>Futuros Swaps</t>
  </si>
  <si>
    <t>09</t>
  </si>
  <si>
    <t>Dólar Canadiense</t>
  </si>
  <si>
    <t>D�lar Canadiense,CAD, 7,*C_MXPCAD_V48</t>
  </si>
  <si>
    <t>Forward de Tasas</t>
  </si>
  <si>
    <t>Franco Suizo</t>
  </si>
  <si>
    <t>Franco Suizo,CHF, 8,*C_MXPCHF_V48</t>
  </si>
  <si>
    <t>Forward de UDIS</t>
  </si>
  <si>
    <t>Libra Esterlina</t>
  </si>
  <si>
    <t>Libra Esterlina,GBP, 9,*C_MXPGBP_V48</t>
  </si>
  <si>
    <t>10</t>
  </si>
  <si>
    <t>Forward de Divisas</t>
  </si>
  <si>
    <t>Dólar Hong Kong</t>
  </si>
  <si>
    <t>D�lar Hong Kong,HKD,10,*C_MXPHKD_V48</t>
  </si>
  <si>
    <t>11</t>
  </si>
  <si>
    <t>Forward de Bonos</t>
  </si>
  <si>
    <t>Corona Danesa</t>
  </si>
  <si>
    <t>Corona Danesa,DKK,13,*C_MXPDKK_V48</t>
  </si>
  <si>
    <t>12</t>
  </si>
  <si>
    <t>Forward sobre Indices Accionarios</t>
  </si>
  <si>
    <t>Corona Sueca</t>
  </si>
  <si>
    <t>Corona Sueca,SEK,14,*C_MXPSEK_V48</t>
  </si>
  <si>
    <t>13</t>
  </si>
  <si>
    <t>Forward sobre Acciones</t>
  </si>
  <si>
    <t>Corona Noruega</t>
  </si>
  <si>
    <t>Corona Noruega,NOK,15,*C_MXPNOK_V48</t>
  </si>
  <si>
    <t>14</t>
  </si>
  <si>
    <t>Debt Exchange Warrants</t>
  </si>
  <si>
    <t>Real Brasileño</t>
  </si>
  <si>
    <t>Real Brasile�o,BRL,16,*C_MXPBRL_V48</t>
  </si>
  <si>
    <t>15</t>
  </si>
  <si>
    <t>Swaps de Tasas</t>
  </si>
  <si>
    <t>Shekel Israelí</t>
  </si>
  <si>
    <t>Shekel Israel�,ILS,17,*C_MXPILS_V48</t>
  </si>
  <si>
    <t>16</t>
  </si>
  <si>
    <t>Swaps de Divisas</t>
  </si>
  <si>
    <t>Peso Chileno</t>
  </si>
  <si>
    <t>Peso Chileno,CLP,18,*C_MXPCLP_V48</t>
  </si>
  <si>
    <t>17</t>
  </si>
  <si>
    <t>Opciones Call de Tasas</t>
  </si>
  <si>
    <t>Rupia</t>
  </si>
  <si>
    <t>Rupia,IDR,19,*C_MXPIDR_V48</t>
  </si>
  <si>
    <t>18</t>
  </si>
  <si>
    <t>Opciones Put de Tasas</t>
  </si>
  <si>
    <t>Renminbi Chino</t>
  </si>
  <si>
    <t>Renminbi Chino,CNY,20,*C_MXPCNY_V48</t>
  </si>
  <si>
    <t>19</t>
  </si>
  <si>
    <t>Opciones Call de Divisas</t>
  </si>
  <si>
    <t>Zloty Polaco</t>
  </si>
  <si>
    <t>Zloty Polaco,PLN,21,*C_MXPPLN_V48</t>
  </si>
  <si>
    <t>20</t>
  </si>
  <si>
    <t>Opciones Put de Divisas</t>
  </si>
  <si>
    <t>Corona Checa</t>
  </si>
  <si>
    <t>Corona Checa,CZK,22,*C_MXPCZK_V48</t>
  </si>
  <si>
    <t>21</t>
  </si>
  <si>
    <t>Opciones Call sobre Indices Accionarios</t>
  </si>
  <si>
    <t>Florín Húngaro</t>
  </si>
  <si>
    <t>Flor�n H�ngaro,HUF,23,*C_MXPHUF_V48</t>
  </si>
  <si>
    <t>22</t>
  </si>
  <si>
    <t>Opciones Put sobre Indices Accionarios</t>
  </si>
  <si>
    <t>Leu Romano</t>
  </si>
  <si>
    <t>Leu Romano,ROL,24,</t>
  </si>
  <si>
    <t>23</t>
  </si>
  <si>
    <t>Opciones Call sobre Acciones</t>
  </si>
  <si>
    <t>Lats Letones</t>
  </si>
  <si>
    <t>Lats Letones,LVL,25,*C_MXPLVL_V48</t>
  </si>
  <si>
    <t>24</t>
  </si>
  <si>
    <t>Opciones Put sobre Acciones</t>
  </si>
  <si>
    <t>Litas Lituanas</t>
  </si>
  <si>
    <t>Litas Lituanas,LTL,26,*C_MXPLTL_V48</t>
  </si>
  <si>
    <t>Corona Estonia</t>
  </si>
  <si>
    <t>Corona Estonia,EKK,27,</t>
  </si>
  <si>
    <t>Lev Búlgaro</t>
  </si>
  <si>
    <t>Lev B�lgaro,BGN,28,*C_MXPBGN_V48</t>
  </si>
  <si>
    <t>Americana</t>
  </si>
  <si>
    <t>Corona Islandesa</t>
  </si>
  <si>
    <t>Corona Islandesa,ISK,29,*C_MXPISK_V48</t>
  </si>
  <si>
    <t>Europea</t>
  </si>
  <si>
    <t>Peso Colombiano</t>
  </si>
  <si>
    <t>100</t>
  </si>
  <si>
    <t>Otros</t>
  </si>
  <si>
    <t>Won Surcoreano</t>
  </si>
  <si>
    <t>Nuevo Sol Peruano</t>
  </si>
  <si>
    <t>Dólar de Singapur</t>
  </si>
  <si>
    <t>Plain Vanilla</t>
  </si>
  <si>
    <t>Otras Divisas</t>
  </si>
  <si>
    <t>Otras Divisas,,99,</t>
  </si>
  <si>
    <t>#</t>
  </si>
  <si>
    <t>Campo</t>
  </si>
  <si>
    <t>Reglas</t>
  </si>
  <si>
    <t>API</t>
  </si>
  <si>
    <t>Method</t>
  </si>
  <si>
    <t>Ejemplo End Point</t>
  </si>
  <si>
    <t>Column</t>
  </si>
  <si>
    <t>Observación</t>
  </si>
  <si>
    <t>Dudas</t>
  </si>
  <si>
    <t>Estatus Mapeo</t>
  </si>
  <si>
    <t>Estatus Implementado</t>
  </si>
  <si>
    <t>Propuesta: CDF dentro de SM o UDF dentro del Trade</t>
  </si>
  <si>
    <t>Catálogo, hace falta</t>
  </si>
  <si>
    <t>Validacion</t>
  </si>
  <si>
    <t>Pendiente</t>
  </si>
  <si>
    <t>Securities</t>
  </si>
  <si>
    <t>Get/Security-master</t>
  </si>
  <si>
    <t>https://issste.blackrock.com/api/reference-data/securities/v1/security-master?assetId=BST1AY9G5&amp;assetIdType=CUSIP</t>
  </si>
  <si>
    <t>cusip2Record -&gt;  "code": "g",</t>
  </si>
  <si>
    <t>En MO</t>
  </si>
  <si>
    <t>Desarrollo</t>
  </si>
  <si>
    <t>Implementado</t>
  </si>
  <si>
    <t>Trades</t>
  </si>
  <si>
    <t>Get/Trade</t>
  </si>
  <si>
    <t>https://issste.blackrock.com/api/trading/trades/v1/trade?portGroup=STE-MAS&amp;tradeDate=2025-10-28</t>
  </si>
  <si>
    <t>tradeCoupon</t>
  </si>
  <si>
    <t>No necesario, en MO</t>
  </si>
  <si>
    <t>Sin mapeo</t>
  </si>
  <si>
    <t>tradeDate</t>
  </si>
  <si>
    <t>settleDate</t>
  </si>
  <si>
    <t>tradeTranType</t>
  </si>
  <si>
    <t>Convinación de Tipo de trade y Trader</t>
  </si>
  <si>
    <t>Convinación de Tipo de trade y Trader (Si trader = NETMAR-VARMAR entonces C)</t>
  </si>
  <si>
    <t>cptyName</t>
  </si>
  <si>
    <t>relQuantity</t>
  </si>
  <si>
    <t>Hace falta</t>
  </si>
  <si>
    <t>contractSize</t>
  </si>
  <si>
    <t>tradePrice</t>
  </si>
  <si>
    <t>tradeChgRate</t>
  </si>
  <si>
    <t>secCcy</t>
  </si>
  <si>
    <t>En Desarrollo</t>
  </si>
  <si>
    <t>settleCcy</t>
  </si>
  <si>
    <t>No Aplica. Solo para entrega-recibo en especie</t>
  </si>
  <si>
    <t>No Aplica o mediante UDF</t>
  </si>
  <si>
    <t>No necesario</t>
  </si>
  <si>
    <t>commission</t>
  </si>
  <si>
    <t>fees</t>
  </si>
  <si>
    <t>No Aplica</t>
  </si>
  <si>
    <t>Hace falta, CDF</t>
  </si>
  <si>
    <t>portfolioTicker</t>
  </si>
  <si>
    <t>No necesario para Futuros</t>
  </si>
  <si>
    <t>COUNTERPARTY_CONSAR</t>
  </si>
  <si>
    <t>Get/Issuer</t>
  </si>
  <si>
    <t>https://issste.blackrock.com/api/reference-data/issuers/v1/issuer?issuerId=R61594</t>
  </si>
  <si>
    <t>issuerShortName</t>
  </si>
  <si>
    <t>CONTRACT_NO</t>
  </si>
  <si>
    <t>secGroup-secType</t>
  </si>
  <si>
    <t>EXECUTION_TYPE</t>
  </si>
  <si>
    <t>tradeExDeskType</t>
  </si>
  <si>
    <t>Catálogo, en MO</t>
  </si>
  <si>
    <t>maturity</t>
  </si>
  <si>
    <t>secGroup</t>
  </si>
  <si>
    <t>Catálogo, no necesario para Futuros</t>
  </si>
  <si>
    <t>secType</t>
  </si>
  <si>
    <t>Propuesta: UDF dentro del Trade</t>
  </si>
  <si>
    <t>relQuantity*contractSize*portFxRate*tradePrice</t>
  </si>
  <si>
    <t>FEE_ISR</t>
  </si>
  <si>
    <t>Issuers</t>
  </si>
  <si>
    <t>issuerLongName</t>
  </si>
  <si>
    <t>Catálogo, hace falta CDF</t>
  </si>
  <si>
    <t>issrExchange</t>
  </si>
  <si>
    <t>Columna que despliega valores del trade. Usualmente comienza con signo negativo (-)</t>
  </si>
  <si>
    <t>secTicker</t>
  </si>
  <si>
    <t>Row Labels</t>
  </si>
  <si>
    <t>Count of Campo</t>
  </si>
  <si>
    <t>Grand Total</t>
  </si>
  <si>
    <t>INICIOS</t>
  </si>
  <si>
    <t>COMPENSACIONES</t>
  </si>
  <si>
    <t>FLUJOS SWAPS</t>
  </si>
  <si>
    <t>PRE9599</t>
  </si>
  <si>
    <t>?Desc</t>
  </si>
  <si>
    <t>?USO</t>
  </si>
  <si>
    <t>Fecha en la que se Liquida la Operación en formato AAAAMMDD. Para inicios de futuros, es la fecha en la que se afectan los excedentes por los pagos de comisión</t>
  </si>
  <si>
    <t>Fecha en la que se Liquida la Operación en formato AAAAMMDD. En compensaciones o novaciones, es la fecha en la que se recibe o paga la utilidad/pérdida de la operación.</t>
  </si>
  <si>
    <r>
      <t>C</t>
    </r>
    <r>
      <rPr>
        <sz val="9"/>
        <rFont val="USALight"/>
      </rPr>
      <t xml:space="preserve">  Compras (Larga)  </t>
    </r>
    <r>
      <rPr>
        <b/>
        <sz val="9"/>
        <rFont val="USALight"/>
      </rPr>
      <t>V</t>
    </r>
    <r>
      <rPr>
        <sz val="9"/>
        <rFont val="USALight"/>
      </rPr>
      <t xml:space="preserve">  Ventas (Corto)</t>
    </r>
  </si>
  <si>
    <r>
      <t xml:space="preserve">P </t>
    </r>
    <r>
      <rPr>
        <sz val="9"/>
        <rFont val="USALight"/>
      </rPr>
      <t xml:space="preserve"> Pago o flujo de cupón</t>
    </r>
  </si>
  <si>
    <r>
      <t>A</t>
    </r>
    <r>
      <rPr>
        <sz val="9"/>
        <rFont val="USALight"/>
      </rPr>
      <t xml:space="preserve">  Apertura</t>
    </r>
  </si>
  <si>
    <r>
      <t>C</t>
    </r>
    <r>
      <rPr>
        <sz val="9"/>
        <rFont val="USALight"/>
      </rPr>
      <t xml:space="preserve">  Compensación</t>
    </r>
  </si>
  <si>
    <r>
      <t>E/R</t>
    </r>
    <r>
      <rPr>
        <sz val="9"/>
        <rFont val="USALight"/>
      </rPr>
      <t xml:space="preserve">  Pata a Entregar o Recibir en Pagos de cupón </t>
    </r>
  </si>
  <si>
    <r>
      <t xml:space="preserve">Precio o Tasa Pactados en el movimiento. </t>
    </r>
    <r>
      <rPr>
        <b/>
        <i/>
        <sz val="9"/>
        <color indexed="55"/>
        <rFont val="USALight"/>
      </rPr>
      <t>Tasa Nuevo cupón en Pagos de cupón</t>
    </r>
  </si>
  <si>
    <r>
      <t xml:space="preserve">Precio o Tasa Pactados originales (sólo en compensaciones). </t>
    </r>
    <r>
      <rPr>
        <b/>
        <i/>
        <sz val="9"/>
        <color indexed="55"/>
        <rFont val="USALight"/>
      </rPr>
      <t>Tasa del cupón que se paga</t>
    </r>
  </si>
  <si>
    <t xml:space="preserve">Monto pago/cobro cupón en SWAPS. (Monto con I.S.R.) </t>
  </si>
  <si>
    <t>I.S.R. a retener.</t>
  </si>
  <si>
    <t>NUEVO FORMATO 25 SEPTIEMBRE 2018</t>
  </si>
  <si>
    <t>INICIOS DE POSICIONES DE DERIVADOS: Cuando en el campo de Tipo de Movimiento viene "A" de Apertura, se entiende que se está iniciando una posición de un derivado. La Apertura puede ser de una Posición Larga (Clave de Movimiento "C") o puede ser una Posición Corta (Clave de Movimiento "V").</t>
  </si>
  <si>
    <t>EJEMPLOS</t>
  </si>
  <si>
    <t xml:space="preserve">01  </t>
  </si>
  <si>
    <t xml:space="preserve">05  </t>
  </si>
  <si>
    <t xml:space="preserve">FI  </t>
  </si>
  <si>
    <t xml:space="preserve">FWD </t>
  </si>
  <si>
    <t xml:space="preserve">IPC    </t>
  </si>
  <si>
    <t xml:space="preserve">USDEUR </t>
  </si>
  <si>
    <t xml:space="preserve">SP18   </t>
  </si>
  <si>
    <t xml:space="preserve">181009 </t>
  </si>
  <si>
    <t>000</t>
  </si>
  <si>
    <t>20180619</t>
  </si>
  <si>
    <r>
      <t>C</t>
    </r>
    <r>
      <rPr>
        <sz val="9"/>
        <rFont val="USALight"/>
      </rPr>
      <t xml:space="preserve">  Compras (Larga)  </t>
    </r>
    <r>
      <rPr>
        <b/>
        <sz val="9"/>
        <rFont val="USALight"/>
      </rPr>
      <t>V</t>
    </r>
    <r>
      <rPr>
        <sz val="9"/>
        <rFont val="USALight"/>
      </rPr>
      <t xml:space="preserve">  Ventas (Ccorto)</t>
    </r>
  </si>
  <si>
    <t>C</t>
  </si>
  <si>
    <t>A</t>
  </si>
  <si>
    <t>BCOSANT</t>
  </si>
  <si>
    <t xml:space="preserve">BHSBC  </t>
  </si>
  <si>
    <t xml:space="preserve">           330</t>
  </si>
  <si>
    <t xml:space="preserve">      10000000</t>
  </si>
  <si>
    <t xml:space="preserve">              10</t>
  </si>
  <si>
    <t xml:space="preserve">               1</t>
  </si>
  <si>
    <t xml:space="preserve">              </t>
  </si>
  <si>
    <t xml:space="preserve">          1000000</t>
  </si>
  <si>
    <t xml:space="preserve">         20696800</t>
  </si>
  <si>
    <t xml:space="preserve">MXP   </t>
  </si>
  <si>
    <t>USDEUR</t>
  </si>
  <si>
    <t xml:space="preserve">                  </t>
  </si>
  <si>
    <t xml:space="preserve">        0</t>
  </si>
  <si>
    <t>D</t>
  </si>
  <si>
    <t>F</t>
  </si>
  <si>
    <t>00000</t>
  </si>
  <si>
    <t xml:space="preserve">        </t>
  </si>
  <si>
    <t xml:space="preserve">                 0</t>
  </si>
  <si>
    <t xml:space="preserve">           1221000</t>
  </si>
  <si>
    <t xml:space="preserve">            195360</t>
  </si>
  <si>
    <t xml:space="preserve">                                                                                                                                                      </t>
  </si>
  <si>
    <t>XXINTE1</t>
  </si>
  <si>
    <t>0</t>
  </si>
  <si>
    <t xml:space="preserve">040014  </t>
  </si>
  <si>
    <t xml:space="preserve">040021  </t>
  </si>
  <si>
    <t xml:space="preserve">098072SI4I     </t>
  </si>
  <si>
    <t xml:space="preserve">ISD0024        </t>
  </si>
  <si>
    <t>T</t>
  </si>
  <si>
    <t>P</t>
  </si>
  <si>
    <t xml:space="preserve">   0</t>
  </si>
  <si>
    <t>20180921</t>
  </si>
  <si>
    <t>20181009</t>
  </si>
  <si>
    <t>20180924</t>
  </si>
  <si>
    <t xml:space="preserve">01 </t>
  </si>
  <si>
    <t xml:space="preserve">07 </t>
  </si>
  <si>
    <t xml:space="preserve">02 </t>
  </si>
  <si>
    <t xml:space="preserve">   </t>
  </si>
  <si>
    <t xml:space="preserve">    144730</t>
  </si>
  <si>
    <t xml:space="preserve">    144741</t>
  </si>
  <si>
    <t xml:space="preserve">             0</t>
  </si>
  <si>
    <t xml:space="preserve">557                 </t>
  </si>
  <si>
    <t xml:space="preserve">FWD181709981        </t>
  </si>
  <si>
    <t xml:space="preserve">       0</t>
  </si>
  <si>
    <t xml:space="preserve"> 01</t>
  </si>
  <si>
    <t xml:space="preserve"> 02</t>
  </si>
  <si>
    <t xml:space="preserve">       </t>
  </si>
  <si>
    <t xml:space="preserve">               </t>
  </si>
  <si>
    <t xml:space="preserve">   472750000000</t>
  </si>
  <si>
    <t xml:space="preserve">       11668200</t>
  </si>
  <si>
    <t>4727500000</t>
  </si>
  <si>
    <t>P1800007CU</t>
  </si>
  <si>
    <t>00701275</t>
  </si>
  <si>
    <t>00000000</t>
  </si>
  <si>
    <t xml:space="preserve">                                                                      </t>
  </si>
  <si>
    <t xml:space="preserve">         </t>
  </si>
  <si>
    <t>COMPENSACIONES. Los datos especiales que se deben enviar en las compensaciones, son sobre todo el Precio Pactado Original (56) y la Fecha de Apertura Original (15), que se usan para poder identificar la posición que se va a compensar en la base de datos. En el caso de compensaciones de swaps, se deben enviar dos registros, uno para ccada pata del swap que se está compensando.</t>
  </si>
  <si>
    <t xml:space="preserve">SWP </t>
  </si>
  <si>
    <t xml:space="preserve">MXPUSD </t>
  </si>
  <si>
    <t>1MXPTIE</t>
  </si>
  <si>
    <t xml:space="preserve">180904 </t>
  </si>
  <si>
    <t xml:space="preserve">180620 </t>
  </si>
  <si>
    <t>20180620</t>
  </si>
  <si>
    <t>20180622</t>
  </si>
  <si>
    <t>V</t>
  </si>
  <si>
    <t>JPMORGA</t>
  </si>
  <si>
    <t>GOLSACB</t>
  </si>
  <si>
    <t xml:space="preserve">      28000000</t>
  </si>
  <si>
    <t xml:space="preserve">             1</t>
  </si>
  <si>
    <t xml:space="preserve">       200000000</t>
  </si>
  <si>
    <t xml:space="preserve">      20640000</t>
  </si>
  <si>
    <t xml:space="preserve">      19943500</t>
  </si>
  <si>
    <t>20180509</t>
  </si>
  <si>
    <t>20160908</t>
  </si>
  <si>
    <t xml:space="preserve">      </t>
  </si>
  <si>
    <t>P1800007</t>
  </si>
  <si>
    <t>P1000002</t>
  </si>
  <si>
    <t xml:space="preserve">  8130000</t>
  </si>
  <si>
    <t xml:space="preserve">       -1918144607</t>
  </si>
  <si>
    <t>2</t>
  </si>
  <si>
    <t xml:space="preserve">040110  </t>
  </si>
  <si>
    <t xml:space="preserve">013130  </t>
  </si>
  <si>
    <t xml:space="preserve">CMOD-011-2005  </t>
  </si>
  <si>
    <t xml:space="preserve">GSMSB2         </t>
  </si>
  <si>
    <t>20180904</t>
  </si>
  <si>
    <t xml:space="preserve">    142369</t>
  </si>
  <si>
    <t xml:space="preserve">      37719</t>
  </si>
  <si>
    <t xml:space="preserve">      37718</t>
  </si>
  <si>
    <t xml:space="preserve">   20000000000</t>
  </si>
  <si>
    <t xml:space="preserve">D13Z-W3GTJ          </t>
  </si>
  <si>
    <t xml:space="preserve">                    </t>
  </si>
  <si>
    <t xml:space="preserve">      206400000</t>
  </si>
  <si>
    <t xml:space="preserve">              0</t>
  </si>
  <si>
    <t xml:space="preserve">      199435000</t>
  </si>
  <si>
    <t>P1000002CU</t>
  </si>
  <si>
    <t>FLUJOS DE SWAPS. Cuando se van a incluir los flujos de swaps, deben presentarse los datos del flujo de la pata que está pagándose o recibiéndose (normalmente son los dos de un swap, pero podria ser solo uno). Además de los datos del flujo, debe incluirse la tasa que va a tener el siguiente cupón de la pata (55).</t>
  </si>
  <si>
    <t>210715</t>
  </si>
  <si>
    <t>20180621</t>
  </si>
  <si>
    <t>R</t>
  </si>
  <si>
    <t>E</t>
  </si>
  <si>
    <t xml:space="preserve">           12300</t>
  </si>
  <si>
    <t xml:space="preserve">       7900000</t>
  </si>
  <si>
    <t xml:space="preserve">       6830000</t>
  </si>
  <si>
    <t xml:space="preserve">       7862000</t>
  </si>
  <si>
    <t>20170719</t>
  </si>
  <si>
    <t>P1700001</t>
  </si>
  <si>
    <t xml:space="preserve">         752120400</t>
  </si>
  <si>
    <t xml:space="preserve">         653400600</t>
  </si>
  <si>
    <t>1</t>
  </si>
  <si>
    <t xml:space="preserve">130842SI3I     </t>
  </si>
  <si>
    <t xml:space="preserve">    0</t>
  </si>
  <si>
    <t>20210715</t>
  </si>
  <si>
    <t xml:space="preserve">    126750</t>
  </si>
  <si>
    <t xml:space="preserve">    126751</t>
  </si>
  <si>
    <t xml:space="preserve">  123000000000</t>
  </si>
  <si>
    <t xml:space="preserve">       79000000</t>
  </si>
  <si>
    <t xml:space="preserve">       68300000</t>
  </si>
  <si>
    <t xml:space="preserve">       78620000</t>
  </si>
  <si>
    <t>P1700001CU</t>
  </si>
  <si>
    <t>FORMATO 05 AGOSTO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</si>
</sst>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0"/>
      <color theme="1"/>
      <name val="Arial"/>
      <family val="2"/>
    </font>
    <font>
      <sz val="10"/>
      <color theme="0"/>
      <name val="Arial"/>
      <family val="2"/>
    </font>
    <font>
      <b/>
      <sz val="11"/>
      <name val="Calibri"/>
      <family val="2"/>
    </font>
    <font>
      <sz val="9"/>
      <name val="USALight"/>
    </font>
    <font>
      <i/>
      <sz val="9"/>
      <name val="USALight"/>
    </font>
    <font>
      <i/>
      <sz val="9"/>
      <color theme="0" tint="-0.34998626667073579"/>
      <name val="USALight"/>
    </font>
    <font>
      <b/>
      <sz val="9"/>
      <name val="USALight"/>
    </font>
    <font>
      <i/>
      <sz val="11"/>
      <name val="USALight"/>
    </font>
    <font>
      <i/>
      <sz val="11"/>
      <color theme="0" tint="-0.34998626667073579"/>
      <name val="USALight"/>
    </font>
    <font>
      <sz val="11"/>
      <name val="USALight"/>
    </font>
    <font>
      <b/>
      <sz val="11"/>
      <name val="USALight"/>
    </font>
    <font>
      <sz val="10"/>
      <name val="USALight"/>
    </font>
    <font>
      <b/>
      <i/>
      <sz val="9"/>
      <color indexed="55"/>
      <name val="USALight"/>
    </font>
    <font>
      <sz val="11"/>
      <color theme="0"/>
      <name val="USALight"/>
    </font>
  </fonts>
  <fills count="16">
    <fill>
      <patternFill patternType="none"/>
    </fill>
    <fill>
      <patternFill patternType="gray125"/>
    </fill>
    <fill>
      <patternFill patternType="solid">
        <fgColor rgb="FF002060"/>
        <bgColor indexed="64"/>
      </patternFill>
    </fill>
    <fill>
      <patternFill patternType="solid">
        <fgColor indexed="9"/>
        <bgColor indexed="64"/>
      </patternFill>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rgb="FFFFFF00"/>
        <bgColor indexed="64"/>
      </patternFill>
    </fill>
    <fill>
      <patternFill patternType="solid">
        <fgColor theme="0" tint="-0.249977111117893"/>
        <bgColor indexed="64"/>
      </patternFill>
    </fill>
    <fill>
      <patternFill patternType="solid">
        <fgColor rgb="FF00B05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499984740745262"/>
        <bgColor indexed="64"/>
      </patternFill>
    </fill>
    <fill>
      <patternFill patternType="solid">
        <fgColor theme="7" tint="-0.499984740745262"/>
        <bgColor indexed="64"/>
      </patternFill>
    </fill>
    <fill>
      <patternFill patternType="solid">
        <fgColor theme="6" tint="-0.499984740745262"/>
        <bgColor indexed="64"/>
      </patternFill>
    </fill>
  </fills>
  <borders count="37">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style="thin">
        <color indexed="64"/>
      </top>
      <bottom style="thin">
        <color indexed="64"/>
      </bottom>
      <diagonal/>
    </border>
    <border>
      <left style="thin">
        <color indexed="64"/>
      </left>
      <right/>
      <top/>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s>
  <cellStyleXfs count="2">
    <xf numFmtId="0" fontId="0" fillId="0" borderId="0"/>
    <xf numFmtId="0" fontId="9" fillId="0" borderId="0"/>
  </cellStyleXfs>
  <cellXfs count="218">
    <xf numFmtId="0" fontId="0" fillId="0" borderId="0" xfId="0"/>
    <xf numFmtId="0" fontId="2" fillId="0" borderId="1" xfId="0" applyFont="1" applyBorder="1" applyAlignment="1">
      <alignment horizontal="center" vertical="top"/>
    </xf>
    <xf numFmtId="0" fontId="0" fillId="0" borderId="1" xfId="0" applyBorder="1"/>
    <xf numFmtId="0" fontId="1" fillId="2" borderId="1" xfId="0" applyFont="1" applyFill="1" applyBorder="1"/>
    <xf numFmtId="0" fontId="0" fillId="5" borderId="0" xfId="0" applyFill="1"/>
    <xf numFmtId="0" fontId="0" fillId="6" borderId="0" xfId="0" applyFill="1"/>
    <xf numFmtId="0" fontId="0" fillId="7" borderId="0" xfId="0" applyFill="1"/>
    <xf numFmtId="0" fontId="1" fillId="2" borderId="2" xfId="0" applyFont="1" applyFill="1" applyBorder="1"/>
    <xf numFmtId="0" fontId="3" fillId="0" borderId="3" xfId="0" applyFont="1" applyBorder="1" applyAlignment="1">
      <alignment wrapText="1"/>
    </xf>
    <xf numFmtId="0" fontId="3" fillId="0" borderId="1" xfId="0" applyFont="1" applyBorder="1" applyAlignment="1">
      <alignment wrapText="1"/>
    </xf>
    <xf numFmtId="49" fontId="3" fillId="0" borderId="1" xfId="0" applyNumberFormat="1" applyFont="1" applyBorder="1" applyAlignment="1">
      <alignment wrapText="1"/>
    </xf>
    <xf numFmtId="0" fontId="3" fillId="0" borderId="4" xfId="0" applyFont="1" applyBorder="1" applyAlignment="1">
      <alignment wrapText="1"/>
    </xf>
    <xf numFmtId="0" fontId="3" fillId="0" borderId="3" xfId="0" applyFont="1" applyBorder="1"/>
    <xf numFmtId="0" fontId="3" fillId="0" borderId="1" xfId="0" applyFont="1" applyBorder="1"/>
    <xf numFmtId="49" fontId="3" fillId="0" borderId="1" xfId="0" applyNumberFormat="1" applyFont="1" applyBorder="1"/>
    <xf numFmtId="0" fontId="3" fillId="3" borderId="1" xfId="0" applyFont="1" applyFill="1" applyBorder="1"/>
    <xf numFmtId="0" fontId="3" fillId="4" borderId="1" xfId="0" applyFont="1" applyFill="1" applyBorder="1"/>
    <xf numFmtId="0" fontId="3" fillId="0" borderId="4" xfId="0" applyFont="1" applyBorder="1"/>
    <xf numFmtId="0" fontId="3" fillId="0" borderId="2" xfId="0" applyFont="1" applyBorder="1"/>
    <xf numFmtId="0" fontId="6" fillId="3" borderId="1" xfId="0" applyFont="1" applyFill="1" applyBorder="1" applyAlignment="1">
      <alignment wrapText="1"/>
    </xf>
    <xf numFmtId="0" fontId="3" fillId="3" borderId="1" xfId="0" applyFont="1" applyFill="1" applyBorder="1" applyAlignment="1">
      <alignment wrapText="1"/>
    </xf>
    <xf numFmtId="0" fontId="3" fillId="4" borderId="1" xfId="0" applyFont="1" applyFill="1" applyBorder="1" applyAlignment="1">
      <alignment wrapText="1"/>
    </xf>
    <xf numFmtId="0" fontId="6" fillId="4" borderId="1" xfId="0" applyFont="1" applyFill="1" applyBorder="1" applyAlignment="1">
      <alignment wrapText="1"/>
    </xf>
    <xf numFmtId="0" fontId="3" fillId="0" borderId="2" xfId="0" applyFont="1" applyBorder="1" applyAlignment="1">
      <alignment wrapText="1"/>
    </xf>
    <xf numFmtId="0" fontId="0" fillId="0" borderId="5" xfId="0" applyBorder="1" applyAlignment="1">
      <alignment vertical="center"/>
    </xf>
    <xf numFmtId="49" fontId="3" fillId="0" borderId="6" xfId="0" applyNumberFormat="1" applyFont="1" applyBorder="1" applyAlignment="1">
      <alignment vertical="center"/>
    </xf>
    <xf numFmtId="0" fontId="0" fillId="0" borderId="7" xfId="0" applyBorder="1" applyAlignment="1">
      <alignment vertical="top"/>
    </xf>
    <xf numFmtId="0" fontId="3" fillId="0" borderId="8" xfId="0" applyFont="1" applyBorder="1" applyAlignment="1">
      <alignment vertical="center"/>
    </xf>
    <xf numFmtId="0" fontId="0" fillId="0" borderId="7" xfId="0" applyBorder="1" applyAlignment="1">
      <alignment vertical="center"/>
    </xf>
    <xf numFmtId="0" fontId="3" fillId="3" borderId="8" xfId="0" applyFont="1" applyFill="1" applyBorder="1" applyAlignment="1">
      <alignment vertical="center"/>
    </xf>
    <xf numFmtId="0" fontId="3" fillId="4" borderId="8" xfId="0" applyFont="1" applyFill="1" applyBorder="1" applyAlignment="1">
      <alignment vertical="center"/>
    </xf>
    <xf numFmtId="0" fontId="3" fillId="0" borderId="9" xfId="0" applyFont="1" applyBorder="1" applyAlignment="1">
      <alignment vertical="center"/>
    </xf>
    <xf numFmtId="0" fontId="0" fillId="0" borderId="10" xfId="0" applyBorder="1" applyAlignment="1">
      <alignment vertical="top"/>
    </xf>
    <xf numFmtId="0" fontId="3" fillId="0" borderId="1" xfId="0" applyFont="1" applyBorder="1" applyAlignment="1">
      <alignment vertical="center"/>
    </xf>
    <xf numFmtId="0" fontId="0" fillId="8" borderId="10" xfId="0" applyFill="1" applyBorder="1" applyAlignment="1">
      <alignment vertical="top"/>
    </xf>
    <xf numFmtId="0" fontId="3" fillId="8" borderId="0" xfId="0" applyFont="1" applyFill="1" applyAlignment="1">
      <alignment vertical="center"/>
    </xf>
    <xf numFmtId="0" fontId="0" fillId="0" borderId="11" xfId="0" applyBorder="1" applyAlignment="1">
      <alignment horizontal="center"/>
    </xf>
    <xf numFmtId="0" fontId="0" fillId="0" borderId="12" xfId="0" applyBorder="1" applyAlignment="1">
      <alignment horizontal="center"/>
    </xf>
    <xf numFmtId="0" fontId="0" fillId="0" borderId="12" xfId="0" applyBorder="1" applyAlignment="1">
      <alignment horizontal="center" vertical="top"/>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7" fillId="9" borderId="7" xfId="0" applyFont="1" applyFill="1" applyBorder="1" applyAlignment="1">
      <alignment vertical="top"/>
    </xf>
    <xf numFmtId="0" fontId="4" fillId="9" borderId="8" xfId="0" applyFont="1" applyFill="1" applyBorder="1" applyAlignment="1">
      <alignment vertical="center"/>
    </xf>
    <xf numFmtId="0" fontId="0" fillId="9" borderId="12" xfId="0" applyFill="1" applyBorder="1" applyAlignment="1">
      <alignment horizontal="center"/>
    </xf>
    <xf numFmtId="0" fontId="4" fillId="9" borderId="1" xfId="0" applyFont="1" applyFill="1" applyBorder="1"/>
    <xf numFmtId="0" fontId="4" fillId="9" borderId="1" xfId="0" applyFont="1" applyFill="1" applyBorder="1" applyAlignment="1">
      <alignment wrapText="1"/>
    </xf>
    <xf numFmtId="0" fontId="0" fillId="9" borderId="1" xfId="0" applyFill="1" applyBorder="1"/>
    <xf numFmtId="0" fontId="2" fillId="9" borderId="1" xfId="0" applyFont="1" applyFill="1" applyBorder="1" applyAlignment="1">
      <alignment horizontal="center" vertical="top"/>
    </xf>
    <xf numFmtId="0" fontId="0" fillId="9" borderId="0" xfId="0" applyFill="1"/>
    <xf numFmtId="0" fontId="8" fillId="9" borderId="7" xfId="0" applyFont="1" applyFill="1" applyBorder="1" applyAlignment="1">
      <alignment vertical="top"/>
    </xf>
    <xf numFmtId="0" fontId="5" fillId="9" borderId="8" xfId="0" applyFont="1" applyFill="1" applyBorder="1" applyAlignment="1">
      <alignment vertical="center"/>
    </xf>
    <xf numFmtId="0" fontId="5" fillId="9" borderId="1" xfId="0" applyFont="1" applyFill="1" applyBorder="1"/>
    <xf numFmtId="0" fontId="5" fillId="9" borderId="1" xfId="0" applyFont="1" applyFill="1" applyBorder="1" applyAlignment="1">
      <alignment wrapText="1"/>
    </xf>
    <xf numFmtId="0" fontId="0" fillId="0" borderId="0" xfId="0" pivotButton="1"/>
    <xf numFmtId="0" fontId="0" fillId="0" borderId="0" xfId="0" applyAlignment="1">
      <alignment horizontal="left"/>
    </xf>
    <xf numFmtId="0" fontId="0" fillId="10" borderId="0" xfId="0" applyFill="1"/>
    <xf numFmtId="0" fontId="10" fillId="8" borderId="0" xfId="1" applyFont="1" applyFill="1"/>
    <xf numFmtId="0" fontId="9" fillId="8" borderId="0" xfId="1" applyFill="1"/>
    <xf numFmtId="0" fontId="9" fillId="0" borderId="0" xfId="1"/>
    <xf numFmtId="0" fontId="10" fillId="0" borderId="0" xfId="1" applyFont="1"/>
    <xf numFmtId="0" fontId="9" fillId="0" borderId="0" xfId="1" applyAlignment="1">
      <alignment horizontal="center"/>
    </xf>
    <xf numFmtId="0" fontId="11" fillId="0" borderId="0" xfId="1" applyFont="1" applyAlignment="1">
      <alignment wrapText="1"/>
    </xf>
    <xf numFmtId="0" fontId="9" fillId="0" borderId="16" xfId="1" applyBorder="1"/>
    <xf numFmtId="0" fontId="3" fillId="0" borderId="17" xfId="1" applyFont="1" applyBorder="1"/>
    <xf numFmtId="0" fontId="10" fillId="0" borderId="17" xfId="1" applyFont="1" applyBorder="1" applyAlignment="1">
      <alignment horizontal="centerContinuous"/>
    </xf>
    <xf numFmtId="0" fontId="10" fillId="0" borderId="17" xfId="1" applyFont="1" applyBorder="1"/>
    <xf numFmtId="0" fontId="9" fillId="0" borderId="18" xfId="1" applyBorder="1" applyAlignment="1">
      <alignment horizontal="center"/>
    </xf>
    <xf numFmtId="0" fontId="9" fillId="0" borderId="19" xfId="1" applyBorder="1"/>
    <xf numFmtId="0" fontId="3" fillId="0" borderId="20" xfId="1" applyFont="1" applyBorder="1"/>
    <xf numFmtId="0" fontId="10" fillId="0" borderId="20" xfId="1" applyFont="1" applyBorder="1" applyAlignment="1">
      <alignment horizontal="center"/>
    </xf>
    <xf numFmtId="0" fontId="10" fillId="0" borderId="20" xfId="1" applyFont="1" applyBorder="1"/>
    <xf numFmtId="0" fontId="9" fillId="0" borderId="15" xfId="1" applyBorder="1" applyAlignment="1">
      <alignment horizontal="center"/>
    </xf>
    <xf numFmtId="0" fontId="9" fillId="0" borderId="5" xfId="1" applyBorder="1" applyAlignment="1">
      <alignment vertical="center"/>
    </xf>
    <xf numFmtId="49" fontId="3" fillId="0" borderId="6" xfId="1" applyNumberFormat="1" applyFont="1" applyBorder="1" applyAlignment="1">
      <alignment vertical="center"/>
    </xf>
    <xf numFmtId="49" fontId="3" fillId="0" borderId="3" xfId="1" applyNumberFormat="1" applyFont="1" applyBorder="1" applyAlignment="1">
      <alignment horizontal="center" vertical="center"/>
    </xf>
    <xf numFmtId="49" fontId="3" fillId="0" borderId="3" xfId="1" applyNumberFormat="1" applyFont="1" applyBorder="1" applyAlignment="1">
      <alignment vertical="center"/>
    </xf>
    <xf numFmtId="0" fontId="3" fillId="0" borderId="3" xfId="1" applyFont="1" applyBorder="1" applyAlignment="1">
      <alignment wrapText="1"/>
    </xf>
    <xf numFmtId="0" fontId="9" fillId="0" borderId="11" xfId="1" applyBorder="1" applyAlignment="1">
      <alignment horizontal="center"/>
    </xf>
    <xf numFmtId="0" fontId="9" fillId="0" borderId="7" xfId="1" applyBorder="1" applyAlignment="1">
      <alignment vertical="top"/>
    </xf>
    <xf numFmtId="0" fontId="3" fillId="0" borderId="8" xfId="1" applyFont="1" applyBorder="1" applyAlignment="1">
      <alignment vertical="center"/>
    </xf>
    <xf numFmtId="0" fontId="3" fillId="0" borderId="1" xfId="1" applyFont="1" applyBorder="1" applyAlignment="1">
      <alignment horizontal="center" vertical="center"/>
    </xf>
    <xf numFmtId="0" fontId="3" fillId="0" borderId="1" xfId="1" applyFont="1" applyBorder="1" applyAlignment="1">
      <alignment vertical="center"/>
    </xf>
    <xf numFmtId="0" fontId="3" fillId="0" borderId="1" xfId="1" applyFont="1" applyBorder="1"/>
    <xf numFmtId="0" fontId="9" fillId="0" borderId="12" xfId="1" applyBorder="1" applyAlignment="1">
      <alignment horizontal="center"/>
    </xf>
    <xf numFmtId="0" fontId="7" fillId="0" borderId="7" xfId="1" applyFont="1" applyBorder="1" applyAlignment="1">
      <alignment vertical="top"/>
    </xf>
    <xf numFmtId="0" fontId="4" fillId="0" borderId="8" xfId="1" applyFont="1" applyBorder="1" applyAlignment="1">
      <alignment vertical="center"/>
    </xf>
    <xf numFmtId="0" fontId="4" fillId="0" borderId="1" xfId="1" applyFont="1" applyBorder="1" applyAlignment="1">
      <alignment horizontal="center" vertical="center"/>
    </xf>
    <xf numFmtId="0" fontId="4" fillId="0" borderId="1" xfId="1" applyFont="1" applyBorder="1" applyAlignment="1">
      <alignment vertical="center"/>
    </xf>
    <xf numFmtId="0" fontId="4" fillId="0" borderId="1" xfId="1" applyFont="1" applyBorder="1"/>
    <xf numFmtId="0" fontId="3" fillId="0" borderId="1" xfId="1" applyFont="1" applyBorder="1" applyAlignment="1">
      <alignment wrapText="1"/>
    </xf>
    <xf numFmtId="0" fontId="9" fillId="0" borderId="7" xfId="1" applyBorder="1" applyAlignment="1">
      <alignment vertical="center"/>
    </xf>
    <xf numFmtId="49" fontId="3" fillId="0" borderId="1" xfId="1" applyNumberFormat="1" applyFont="1" applyBorder="1" applyAlignment="1">
      <alignment wrapText="1"/>
    </xf>
    <xf numFmtId="0" fontId="9" fillId="0" borderId="12" xfId="1" applyBorder="1" applyAlignment="1">
      <alignment horizontal="center" vertical="top"/>
    </xf>
    <xf numFmtId="0" fontId="3" fillId="3" borderId="8" xfId="1" applyFont="1" applyFill="1" applyBorder="1" applyAlignment="1">
      <alignment vertical="center"/>
    </xf>
    <xf numFmtId="0" fontId="3" fillId="3" borderId="1" xfId="1" applyFont="1" applyFill="1" applyBorder="1" applyAlignment="1">
      <alignment horizontal="center" vertical="center"/>
    </xf>
    <xf numFmtId="0" fontId="3" fillId="3" borderId="1" xfId="1" applyFont="1" applyFill="1" applyBorder="1" applyAlignment="1">
      <alignment vertical="center"/>
    </xf>
    <xf numFmtId="0" fontId="6" fillId="3" borderId="1" xfId="1" applyFont="1" applyFill="1" applyBorder="1"/>
    <xf numFmtId="0" fontId="3" fillId="3" borderId="1" xfId="1" applyFont="1" applyFill="1" applyBorder="1"/>
    <xf numFmtId="0" fontId="8" fillId="0" borderId="7" xfId="1" applyFont="1" applyBorder="1" applyAlignment="1">
      <alignment vertical="top"/>
    </xf>
    <xf numFmtId="0" fontId="5" fillId="0" borderId="8" xfId="1" applyFont="1" applyBorder="1" applyAlignment="1">
      <alignment vertical="center"/>
    </xf>
    <xf numFmtId="0" fontId="5" fillId="0" borderId="1" xfId="1" applyFont="1" applyBorder="1" applyAlignment="1">
      <alignment horizontal="center" vertical="center"/>
    </xf>
    <xf numFmtId="0" fontId="5" fillId="0" borderId="1" xfId="1" applyFont="1" applyBorder="1" applyAlignment="1">
      <alignment vertical="center"/>
    </xf>
    <xf numFmtId="0" fontId="5" fillId="0" borderId="1" xfId="1" applyFont="1" applyBorder="1"/>
    <xf numFmtId="0" fontId="3" fillId="4" borderId="8" xfId="1" applyFont="1" applyFill="1" applyBorder="1" applyAlignment="1">
      <alignment vertical="center"/>
    </xf>
    <xf numFmtId="0" fontId="3" fillId="4" borderId="1" xfId="1" applyFont="1" applyFill="1" applyBorder="1" applyAlignment="1">
      <alignment horizontal="center" vertical="center"/>
    </xf>
    <xf numFmtId="0" fontId="3" fillId="4" borderId="1" xfId="1" applyFont="1" applyFill="1" applyBorder="1" applyAlignment="1">
      <alignment vertical="center"/>
    </xf>
    <xf numFmtId="0" fontId="3" fillId="4" borderId="1" xfId="1" applyFont="1" applyFill="1" applyBorder="1"/>
    <xf numFmtId="0" fontId="6" fillId="4" borderId="1" xfId="1" applyFont="1" applyFill="1" applyBorder="1"/>
    <xf numFmtId="0" fontId="3" fillId="0" borderId="9" xfId="1" applyFont="1" applyBorder="1" applyAlignment="1">
      <alignment vertical="center"/>
    </xf>
    <xf numFmtId="0" fontId="3" fillId="0" borderId="4" xfId="1" applyFont="1" applyBorder="1" applyAlignment="1">
      <alignment horizontal="center" vertical="center"/>
    </xf>
    <xf numFmtId="0" fontId="3" fillId="0" borderId="4" xfId="1" applyFont="1" applyBorder="1" applyAlignment="1">
      <alignment vertical="center"/>
    </xf>
    <xf numFmtId="0" fontId="3" fillId="0" borderId="4" xfId="1" applyFont="1" applyBorder="1" applyAlignment="1">
      <alignment wrapText="1"/>
    </xf>
    <xf numFmtId="0" fontId="9" fillId="0" borderId="13" xfId="1" applyBorder="1" applyAlignment="1">
      <alignment horizontal="center"/>
    </xf>
    <xf numFmtId="0" fontId="9" fillId="0" borderId="10" xfId="1" applyBorder="1" applyAlignment="1">
      <alignment vertical="top"/>
    </xf>
    <xf numFmtId="0" fontId="9" fillId="0" borderId="14" xfId="1" applyBorder="1" applyAlignment="1">
      <alignment horizontal="center"/>
    </xf>
    <xf numFmtId="0" fontId="9" fillId="8" borderId="10" xfId="1" applyFill="1" applyBorder="1" applyAlignment="1">
      <alignment vertical="top"/>
    </xf>
    <xf numFmtId="0" fontId="3" fillId="8" borderId="0" xfId="1" applyFont="1" applyFill="1" applyAlignment="1">
      <alignment vertical="center"/>
    </xf>
    <xf numFmtId="0" fontId="3" fillId="8" borderId="2" xfId="1" applyFont="1" applyFill="1" applyBorder="1" applyAlignment="1">
      <alignment horizontal="center" vertical="center"/>
    </xf>
    <xf numFmtId="0" fontId="3" fillId="8" borderId="2" xfId="1" applyFont="1" applyFill="1" applyBorder="1" applyAlignment="1">
      <alignment vertical="center"/>
    </xf>
    <xf numFmtId="0" fontId="3" fillId="8" borderId="2" xfId="1" applyFont="1" applyFill="1" applyBorder="1"/>
    <xf numFmtId="0" fontId="9" fillId="0" borderId="16" xfId="1" applyBorder="1" applyAlignment="1">
      <alignment vertical="top"/>
    </xf>
    <xf numFmtId="0" fontId="6" fillId="0" borderId="17" xfId="1" applyFont="1" applyBorder="1"/>
    <xf numFmtId="0" fontId="6" fillId="0" borderId="17" xfId="1" applyFont="1" applyBorder="1" applyAlignment="1">
      <alignment horizontal="center"/>
    </xf>
    <xf numFmtId="0" fontId="9" fillId="0" borderId="21" xfId="1" applyBorder="1" applyAlignment="1">
      <alignment vertical="top"/>
    </xf>
    <xf numFmtId="0" fontId="3" fillId="0" borderId="0" xfId="1" applyFont="1"/>
    <xf numFmtId="0" fontId="6" fillId="0" borderId="0" xfId="1" applyFont="1" applyAlignment="1">
      <alignment horizontal="center"/>
    </xf>
    <xf numFmtId="0" fontId="6" fillId="0" borderId="0" xfId="1" applyFont="1"/>
    <xf numFmtId="0" fontId="9" fillId="0" borderId="22" xfId="1" applyBorder="1" applyAlignment="1">
      <alignment horizontal="center"/>
    </xf>
    <xf numFmtId="0" fontId="3" fillId="0" borderId="0" xfId="1" quotePrefix="1" applyFont="1"/>
    <xf numFmtId="0" fontId="9" fillId="0" borderId="21" xfId="1" applyBorder="1"/>
    <xf numFmtId="0" fontId="9" fillId="0" borderId="20" xfId="1" applyBorder="1"/>
    <xf numFmtId="0" fontId="9" fillId="0" borderId="5" xfId="1" quotePrefix="1" applyBorder="1" applyAlignment="1">
      <alignment horizontal="center"/>
    </xf>
    <xf numFmtId="0" fontId="9" fillId="0" borderId="23" xfId="1" applyBorder="1"/>
    <xf numFmtId="0" fontId="9" fillId="0" borderId="7" xfId="1" quotePrefix="1" applyBorder="1" applyAlignment="1">
      <alignment horizontal="center"/>
    </xf>
    <xf numFmtId="0" fontId="9" fillId="0" borderId="13" xfId="1" applyBorder="1"/>
    <xf numFmtId="0" fontId="9" fillId="0" borderId="24" xfId="1" quotePrefix="1" applyBorder="1" applyAlignment="1">
      <alignment horizontal="center"/>
    </xf>
    <xf numFmtId="0" fontId="9" fillId="0" borderId="25" xfId="1" applyBorder="1"/>
    <xf numFmtId="0" fontId="9" fillId="0" borderId="26" xfId="1" quotePrefix="1" applyBorder="1" applyAlignment="1">
      <alignment horizontal="center"/>
    </xf>
    <xf numFmtId="0" fontId="9" fillId="0" borderId="27" xfId="1" applyBorder="1"/>
    <xf numFmtId="0" fontId="9" fillId="8" borderId="7" xfId="1" quotePrefix="1" applyFill="1" applyBorder="1" applyAlignment="1">
      <alignment horizontal="center"/>
    </xf>
    <xf numFmtId="0" fontId="9" fillId="8" borderId="13" xfId="1" applyFill="1" applyBorder="1"/>
    <xf numFmtId="0" fontId="9" fillId="8" borderId="26" xfId="1" quotePrefix="1" applyFill="1" applyBorder="1" applyAlignment="1">
      <alignment horizontal="center"/>
    </xf>
    <xf numFmtId="0" fontId="9" fillId="8" borderId="27" xfId="1" applyFill="1" applyBorder="1"/>
    <xf numFmtId="49" fontId="3" fillId="0" borderId="0" xfId="1" applyNumberFormat="1" applyFont="1" applyAlignment="1">
      <alignment horizontal="left"/>
    </xf>
    <xf numFmtId="0" fontId="10" fillId="0" borderId="15" xfId="1" applyFont="1" applyBorder="1" applyAlignment="1">
      <alignment horizontal="center"/>
    </xf>
    <xf numFmtId="0" fontId="9" fillId="0" borderId="28" xfId="1" applyBorder="1" applyAlignment="1">
      <alignment horizontal="center"/>
    </xf>
    <xf numFmtId="49" fontId="3" fillId="0" borderId="2" xfId="1" applyNumberFormat="1" applyFont="1" applyBorder="1" applyAlignment="1">
      <alignment horizontal="left"/>
    </xf>
    <xf numFmtId="0" fontId="9" fillId="0" borderId="14" xfId="1" applyBorder="1" applyAlignment="1">
      <alignment horizontal="center" vertical="top"/>
    </xf>
    <xf numFmtId="0" fontId="5" fillId="3" borderId="8" xfId="1" applyFont="1" applyFill="1" applyBorder="1" applyAlignment="1">
      <alignment vertical="center"/>
    </xf>
    <xf numFmtId="0" fontId="5" fillId="3" borderId="1" xfId="1" applyFont="1" applyFill="1" applyBorder="1" applyAlignment="1">
      <alignment horizontal="center" vertical="center"/>
    </xf>
    <xf numFmtId="0" fontId="5" fillId="3" borderId="1" xfId="1" applyFont="1" applyFill="1" applyBorder="1" applyAlignment="1">
      <alignment vertical="center"/>
    </xf>
    <xf numFmtId="0" fontId="5" fillId="3" borderId="1" xfId="1" applyFont="1" applyFill="1" applyBorder="1"/>
    <xf numFmtId="0" fontId="8" fillId="11" borderId="7" xfId="1" applyFont="1" applyFill="1" applyBorder="1" applyAlignment="1">
      <alignment vertical="center"/>
    </xf>
    <xf numFmtId="0" fontId="5" fillId="11" borderId="8" xfId="1" applyFont="1" applyFill="1" applyBorder="1" applyAlignment="1">
      <alignment vertical="center"/>
    </xf>
    <xf numFmtId="0" fontId="5" fillId="11" borderId="1" xfId="1" applyFont="1" applyFill="1" applyBorder="1" applyAlignment="1">
      <alignment horizontal="center" vertical="center"/>
    </xf>
    <xf numFmtId="0" fontId="5" fillId="11" borderId="1" xfId="1" applyFont="1" applyFill="1" applyBorder="1" applyAlignment="1">
      <alignment vertical="center"/>
    </xf>
    <xf numFmtId="0" fontId="5" fillId="11" borderId="1" xfId="1" applyFont="1" applyFill="1" applyBorder="1" applyAlignment="1">
      <alignment wrapText="1"/>
    </xf>
    <xf numFmtId="0" fontId="9" fillId="11" borderId="14" xfId="1" applyFill="1" applyBorder="1" applyAlignment="1">
      <alignment horizontal="center"/>
    </xf>
    <xf numFmtId="0" fontId="9" fillId="11" borderId="7" xfId="1" applyFill="1" applyBorder="1" applyAlignment="1">
      <alignment vertical="top"/>
    </xf>
    <xf numFmtId="0" fontId="3" fillId="11" borderId="8" xfId="1" applyFont="1" applyFill="1" applyBorder="1" applyAlignment="1">
      <alignment vertical="center"/>
    </xf>
    <xf numFmtId="0" fontId="3" fillId="11" borderId="1" xfId="1" applyFont="1" applyFill="1" applyBorder="1" applyAlignment="1">
      <alignment horizontal="center" vertical="center"/>
    </xf>
    <xf numFmtId="0" fontId="3" fillId="11" borderId="1" xfId="1" applyFont="1" applyFill="1" applyBorder="1" applyAlignment="1">
      <alignment vertical="center"/>
    </xf>
    <xf numFmtId="0" fontId="3" fillId="11" borderId="1" xfId="1" applyFont="1" applyFill="1" applyBorder="1"/>
    <xf numFmtId="0" fontId="9" fillId="0" borderId="29" xfId="1" applyBorder="1" applyAlignment="1">
      <alignment horizontal="center"/>
    </xf>
    <xf numFmtId="0" fontId="9" fillId="11" borderId="29" xfId="1" applyFill="1" applyBorder="1" applyAlignment="1">
      <alignment horizontal="center"/>
    </xf>
    <xf numFmtId="49" fontId="3" fillId="0" borderId="30" xfId="1" applyNumberFormat="1" applyFont="1" applyBorder="1" applyAlignment="1">
      <alignment horizontal="left"/>
    </xf>
    <xf numFmtId="49" fontId="3" fillId="0" borderId="31" xfId="1" applyNumberFormat="1" applyFont="1" applyBorder="1"/>
    <xf numFmtId="49" fontId="3" fillId="0" borderId="32" xfId="1" applyNumberFormat="1" applyFont="1" applyBorder="1"/>
    <xf numFmtId="49" fontId="3" fillId="0" borderId="11" xfId="1" applyNumberFormat="1" applyFont="1" applyBorder="1"/>
    <xf numFmtId="49" fontId="3" fillId="0" borderId="33" xfId="1" applyNumberFormat="1" applyFont="1" applyBorder="1"/>
    <xf numFmtId="49" fontId="3" fillId="0" borderId="2" xfId="1" applyNumberFormat="1" applyFont="1" applyBorder="1"/>
    <xf numFmtId="49" fontId="3" fillId="0" borderId="12" xfId="1" applyNumberFormat="1" applyFont="1" applyBorder="1"/>
    <xf numFmtId="49" fontId="3" fillId="0" borderId="34" xfId="1" applyNumberFormat="1" applyFont="1" applyBorder="1"/>
    <xf numFmtId="49" fontId="3" fillId="0" borderId="35" xfId="1" applyNumberFormat="1" applyFont="1" applyBorder="1"/>
    <xf numFmtId="49" fontId="3" fillId="0" borderId="36" xfId="1" applyNumberFormat="1" applyFont="1" applyBorder="1"/>
    <xf numFmtId="49" fontId="9" fillId="0" borderId="0" xfId="1" applyNumberFormat="1"/>
    <xf numFmtId="0" fontId="9" fillId="8" borderId="7" xfId="1" applyFill="1" applyBorder="1" applyAlignment="1">
      <alignment vertical="top"/>
    </xf>
    <xf numFmtId="0" fontId="3" fillId="8" borderId="8" xfId="1" applyFont="1" applyFill="1" applyBorder="1" applyAlignment="1">
      <alignment vertical="center"/>
    </xf>
    <xf numFmtId="0" fontId="3" fillId="8" borderId="1" xfId="1" applyFont="1" applyFill="1" applyBorder="1" applyAlignment="1">
      <alignment horizontal="center" vertical="center"/>
    </xf>
    <xf numFmtId="0" fontId="3" fillId="8" borderId="1" xfId="1" applyFont="1" applyFill="1" applyBorder="1" applyAlignment="1">
      <alignment vertical="center"/>
    </xf>
    <xf numFmtId="0" fontId="3" fillId="8" borderId="1" xfId="1" applyFont="1" applyFill="1" applyBorder="1"/>
    <xf numFmtId="0" fontId="9" fillId="8" borderId="14" xfId="1" applyFill="1" applyBorder="1" applyAlignment="1">
      <alignment horizontal="center"/>
    </xf>
    <xf numFmtId="0" fontId="3" fillId="12" borderId="8" xfId="1" applyFont="1" applyFill="1" applyBorder="1" applyAlignment="1">
      <alignment vertical="center"/>
    </xf>
    <xf numFmtId="0" fontId="3" fillId="12" borderId="0" xfId="1" applyFont="1" applyFill="1" applyAlignment="1">
      <alignment vertical="center"/>
    </xf>
    <xf numFmtId="0" fontId="3" fillId="0" borderId="2" xfId="1" applyFont="1" applyBorder="1" applyAlignment="1">
      <alignment horizontal="center" vertical="center"/>
    </xf>
    <xf numFmtId="0" fontId="3" fillId="0" borderId="2" xfId="1" applyFont="1" applyBorder="1" applyAlignment="1">
      <alignment vertical="center"/>
    </xf>
    <xf numFmtId="0" fontId="3" fillId="0" borderId="2" xfId="1" applyFont="1" applyBorder="1"/>
    <xf numFmtId="0" fontId="11" fillId="0" borderId="0" xfId="1" applyFont="1"/>
    <xf numFmtId="0" fontId="3" fillId="0" borderId="3" xfId="1" applyFont="1" applyBorder="1"/>
    <xf numFmtId="49" fontId="3" fillId="0" borderId="1" xfId="1" applyNumberFormat="1" applyFont="1" applyBorder="1"/>
    <xf numFmtId="0" fontId="5" fillId="11" borderId="1" xfId="1" applyFont="1" applyFill="1" applyBorder="1"/>
    <xf numFmtId="0" fontId="3" fillId="0" borderId="4" xfId="1" applyFont="1" applyBorder="1"/>
    <xf numFmtId="0" fontId="9" fillId="10" borderId="0" xfId="1" applyFill="1"/>
    <xf numFmtId="0" fontId="13" fillId="13" borderId="0" xfId="1" applyFont="1" applyFill="1"/>
    <xf numFmtId="0" fontId="13" fillId="14" borderId="0" xfId="1" applyFont="1" applyFill="1"/>
    <xf numFmtId="0" fontId="9" fillId="15" borderId="0" xfId="1" applyFill="1"/>
    <xf numFmtId="0" fontId="13" fillId="15" borderId="0" xfId="1" applyFont="1" applyFill="1"/>
    <xf numFmtId="0" fontId="10" fillId="0" borderId="0" xfId="0" applyFont="1" applyAlignment="1">
      <alignment horizontal="center"/>
    </xf>
    <xf numFmtId="0" fontId="3" fillId="0" borderId="0" xfId="1" applyFont="1" applyAlignment="1">
      <alignment wrapText="1"/>
    </xf>
    <xf numFmtId="0" fontId="9" fillId="0" borderId="0" xfId="1" applyAlignment="1">
      <alignment wrapText="1"/>
    </xf>
    <xf numFmtId="0" fontId="10" fillId="0" borderId="20" xfId="1" applyFont="1" applyBorder="1" applyAlignment="1">
      <alignment horizontal="center" wrapText="1"/>
    </xf>
    <xf numFmtId="0" fontId="9" fillId="0" borderId="20" xfId="1" applyBorder="1" applyAlignment="1">
      <alignment horizontal="center" wrapText="1"/>
    </xf>
    <xf numFmtId="0" fontId="3" fillId="0" borderId="0" xfId="1" applyFont="1"/>
    <xf numFmtId="0" fontId="9" fillId="0" borderId="0" xfId="1"/>
    <xf numFmtId="49" fontId="6" fillId="0" borderId="16" xfId="1" applyNumberFormat="1" applyFont="1" applyBorder="1" applyAlignment="1">
      <alignment horizontal="center" wrapText="1"/>
    </xf>
    <xf numFmtId="0" fontId="9" fillId="0" borderId="18" xfId="1" applyBorder="1" applyAlignment="1">
      <alignment horizontal="center" wrapText="1"/>
    </xf>
    <xf numFmtId="0" fontId="9" fillId="0" borderId="19" xfId="1" applyBorder="1" applyAlignment="1">
      <alignment horizontal="center" wrapText="1"/>
    </xf>
    <xf numFmtId="0" fontId="9" fillId="0" borderId="15" xfId="1" applyBorder="1" applyAlignment="1">
      <alignment horizontal="center" wrapText="1"/>
    </xf>
    <xf numFmtId="49" fontId="10" fillId="0" borderId="16" xfId="1" applyNumberFormat="1" applyFont="1" applyBorder="1" applyAlignment="1">
      <alignment horizontal="center" wrapText="1"/>
    </xf>
    <xf numFmtId="49" fontId="10" fillId="0" borderId="17" xfId="1" applyNumberFormat="1" applyFont="1" applyBorder="1" applyAlignment="1">
      <alignment horizontal="center" wrapText="1"/>
    </xf>
    <xf numFmtId="49" fontId="10" fillId="0" borderId="18" xfId="1" applyNumberFormat="1" applyFont="1" applyBorder="1" applyAlignment="1">
      <alignment horizontal="center" wrapText="1"/>
    </xf>
    <xf numFmtId="49" fontId="10" fillId="0" borderId="21" xfId="1" applyNumberFormat="1" applyFont="1" applyBorder="1" applyAlignment="1">
      <alignment horizontal="center" wrapText="1"/>
    </xf>
    <xf numFmtId="49" fontId="10" fillId="0" borderId="0" xfId="1" applyNumberFormat="1" applyFont="1" applyAlignment="1">
      <alignment horizontal="center" wrapText="1"/>
    </xf>
    <xf numFmtId="49" fontId="10" fillId="0" borderId="22" xfId="1" applyNumberFormat="1" applyFont="1" applyBorder="1" applyAlignment="1">
      <alignment horizontal="center" wrapText="1"/>
    </xf>
    <xf numFmtId="49" fontId="9" fillId="0" borderId="18" xfId="1" applyNumberFormat="1" applyBorder="1" applyAlignment="1">
      <alignment horizontal="center" wrapText="1"/>
    </xf>
    <xf numFmtId="49" fontId="9" fillId="0" borderId="21" xfId="1" applyNumberFormat="1" applyBorder="1" applyAlignment="1">
      <alignment horizontal="center" wrapText="1"/>
    </xf>
    <xf numFmtId="49" fontId="9" fillId="0" borderId="22" xfId="1" applyNumberFormat="1" applyBorder="1" applyAlignment="1">
      <alignment horizontal="center" wrapText="1"/>
    </xf>
  </cellXfs>
  <cellStyles count="2">
    <cellStyle name="Normal" xfId="0" builtinId="0"/>
    <cellStyle name="Normal 2" xfId="1" xr:uid="{BD5E56AA-1DCC-453E-B447-49A3E18EA944}"/>
  </cellStyles>
  <dxfs count="10">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scar V" refreshedDate="46078.073480671294" createdVersion="8" refreshedVersion="8" minRefreshableVersion="3" recordCount="65" xr:uid="{9CD08042-EF34-4004-87EE-274D69E195B8}">
  <cacheSource type="worksheet">
    <worksheetSource ref="D2:M67" sheet="Mapeo"/>
  </cacheSource>
  <cacheFields count="10">
    <cacheField name="Campo" numFmtId="0">
      <sharedItems/>
    </cacheField>
    <cacheField name="Reglas" numFmtId="0">
      <sharedItems containsBlank="1" longText="1"/>
    </cacheField>
    <cacheField name="API" numFmtId="0">
      <sharedItems containsBlank="1"/>
    </cacheField>
    <cacheField name="Method" numFmtId="0">
      <sharedItems containsBlank="1"/>
    </cacheField>
    <cacheField name="Ejemplo End Point" numFmtId="0">
      <sharedItems containsBlank="1"/>
    </cacheField>
    <cacheField name="Column" numFmtId="0">
      <sharedItems containsBlank="1"/>
    </cacheField>
    <cacheField name="Observación" numFmtId="0">
      <sharedItems/>
    </cacheField>
    <cacheField name="Dudas" numFmtId="0">
      <sharedItems containsNonDate="0" containsString="0" containsBlank="1"/>
    </cacheField>
    <cacheField name="Estatus Mapeo" numFmtId="0">
      <sharedItems count="3">
        <s v="Validacion"/>
        <s v="Desarrollo"/>
        <s v="Sin mapeo"/>
      </sharedItems>
    </cacheField>
    <cacheField name="Estatus Implementado" numFmtId="0">
      <sharedItems count="3">
        <s v="Pendiente"/>
        <s v="Implementado"/>
        <s v="En Desarrollo"/>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
  <r>
    <s v="MERCADO"/>
    <s v="Es la clave para diferenciar a que mercado pertenece el derivado del que se hace la operación. 1=MEXDER, 2=CME, 3=CBOE, 4=CBOT, 5=OTC 6=LIFE 7=OSAKA 8=TOKIO 9=MONTREAL 10=EUX 11=BFO 12=MNP  13=MAT  14=MFM  15=MIL  16=SIMEX 17=WARRANTS"/>
    <m/>
    <m/>
    <s v="Propuesta: CDF dentro de SM o UDF dentro del Trade"/>
    <m/>
    <s v="Catálogo, hace falta"/>
    <m/>
    <x v="0"/>
    <x v="0"/>
  </r>
  <r>
    <s v="CLAVE DE INSTRUMENTO "/>
    <s v="Tipo de Valor o Clave BMV del derivado."/>
    <s v="Securities"/>
    <s v="Get/Security-master"/>
    <s v="https://issste.blackrock.com/api/reference-data/securities/v1/security-master?assetId=BST1AY9G5&amp;assetIdType=CUSIP"/>
    <s v="cusip2Record -&gt;  &quot;code&quot;: &quot;g&quot;,"/>
    <s v="En MO"/>
    <m/>
    <x v="1"/>
    <x v="1"/>
  </r>
  <r>
    <s v="EMISORA"/>
    <s v="Clave de la Emisora"/>
    <s v="Securities"/>
    <s v="Get/Security-master"/>
    <s v="https://issste.blackrock.com/api/reference-data/securities/v1/security-master?assetId=BST1AY9G5&amp;assetIdType=CUSIP"/>
    <s v="cusip2Record -&gt;  &quot;code&quot;: &quot;g&quot;,"/>
    <s v="En MO"/>
    <m/>
    <x v="1"/>
    <x v="1"/>
  </r>
  <r>
    <s v="SERIE"/>
    <s v="Serie de la Emisora"/>
    <s v="Securities"/>
    <s v="Get/Security-master"/>
    <s v="https://issste.blackrock.com/api/reference-data/securities/v1/security-master?assetId=BST1AY9G5&amp;assetIdType=CUSIP"/>
    <s v="cusip2Record -&gt;  &quot;code&quot;: &quot;g&quot;,"/>
    <s v="En MO"/>
    <m/>
    <x v="1"/>
    <x v="1"/>
  </r>
  <r>
    <s v="CUPON"/>
    <s v="No aplica"/>
    <s v="Trades"/>
    <s v="Get/Trade"/>
    <s v="https://issste.blackrock.com/api/trading/trades/v1/trade?portGroup=STE-MAS&amp;tradeDate=2025-10-28"/>
    <s v="tradeCoupon"/>
    <s v="No necesario, en MO"/>
    <m/>
    <x v="2"/>
    <x v="1"/>
  </r>
  <r>
    <s v="FECHA DE OPERACION"/>
    <s v="Fecha en que se pactó la Operación en formato AAAAMMDD. Debe ser la fecha del archivo de transferencia."/>
    <s v="Trades"/>
    <s v="Get/Trade"/>
    <s v="https://issste.blackrock.com/api/trading/trades/v1/trade?portGroup=STE-MAS&amp;tradeDate=2025-10-28"/>
    <s v="tradeDate"/>
    <s v="En MO"/>
    <m/>
    <x v="1"/>
    <x v="1"/>
  </r>
  <r>
    <s v="FECHA DE LIQUIDACION"/>
    <s v="Fecha en la que se Liquida la Operación en formato AAAAMMDD. Para inicios de futuros, es la fecha en la que se afectan los excedentes por los pagos de comisión, en compensaciones o novaciones, es la fecha en la que se recibe o paga la utilidad/pérdida de la operación."/>
    <s v="Trades"/>
    <s v="Get/Trade"/>
    <s v="https://issste.blackrock.com/api/trading/trades/v1/trade?portGroup=STE-MAS&amp;tradeDate=2025-10-28"/>
    <s v="settleDate"/>
    <s v="En MO"/>
    <m/>
    <x v="1"/>
    <x v="1"/>
  </r>
  <r>
    <s v="CLAVE DE MOVIMIENTO"/>
    <s v="C  Compras (Larga)  V  Ventas (Corto)   P  Pago o flujo de cupón"/>
    <s v="Trades"/>
    <s v="Get/Trade"/>
    <s v="https://issste.blackrock.com/api/trading/trades/v1/trade?portGroup=STE-MAS&amp;tradeDate=2025-10-28"/>
    <s v="tradeTranType"/>
    <s v="Convinación de Tipo de trade y Trader"/>
    <m/>
    <x v="0"/>
    <x v="0"/>
  </r>
  <r>
    <s v="TIPO DE MOVIMIENTO"/>
    <s v="A  Apertura   C  Compensación   E/R  Pata a Entregar o Recibir en Pagos de cupón "/>
    <s v="Trades"/>
    <s v="Get/Trade"/>
    <s v="https://issste.blackrock.com/api/trading/trades/v1/trade?portGroup=STE-MAS&amp;tradeDate=2025-10-28"/>
    <s v="tradeTranType"/>
    <s v="Convinación de Tipo de trade y Trader (Si trader = NETMAR-VARMAR entonces C)"/>
    <m/>
    <x v="2"/>
    <x v="0"/>
  </r>
  <r>
    <s v="CLAVE DEL PROVEEDOR"/>
    <s v="Clave del Proveedor o Contraparte"/>
    <s v="Trades"/>
    <s v="Get/Trade"/>
    <s v="https://issste.blackrock.com/api/trading/trades/v1/trade?portGroup=STE-MAS&amp;tradeDate=2025-10-28"/>
    <s v="cptyName"/>
    <s v="En MO"/>
    <m/>
    <x v="1"/>
    <x v="1"/>
  </r>
  <r>
    <s v="NUMERO DE CONTRATOS"/>
    <s v="Número de Contratos "/>
    <s v="Trades"/>
    <s v="Get/Trade"/>
    <s v="https://issste.blackrock.com/api/trading/trades/v1/trade?portGroup=STE-MAS&amp;tradeDate=2025-10-28"/>
    <s v="relQuantity"/>
    <s v="Hace falta"/>
    <m/>
    <x v="2"/>
    <x v="1"/>
  </r>
  <r>
    <s v="TAMAÑO DEL CONTRATO"/>
    <s v="Tamaño del Contrato"/>
    <s v="Securities"/>
    <s v="Get/Security-master"/>
    <s v="https://issste.blackrock.com/api/reference-data/securities/v1/security-master?assetId=BST1AY9G5&amp;assetIdType=CUSIP"/>
    <s v="contractSize"/>
    <s v="Hace falta"/>
    <m/>
    <x v="2"/>
    <x v="0"/>
  </r>
  <r>
    <s v="PRECIO O TASA PACTADA"/>
    <s v="Precio o Tasa Pactados en el movimiento. Tasa Nuevo cupón en Pagos de cupón"/>
    <s v="Trades"/>
    <s v="Get/Trade"/>
    <s v="https://issste.blackrock.com/api/trading/trades/v1/trade?portGroup=STE-MAS&amp;tradeDate=2025-10-28"/>
    <s v="tradePrice"/>
    <s v="En MO"/>
    <m/>
    <x v="1"/>
    <x v="1"/>
  </r>
  <r>
    <s v="PRECIO O TASA ORIGINAL"/>
    <s v="Precio o Tasa Pactados originales (sólo en compensaciones). Tasa del cupón que se paga"/>
    <s v="Trades"/>
    <s v="Get/Trade"/>
    <s v="https://issste.blackrock.com/api/trading/trades/v1/trade?portGroup=STE-MAS&amp;tradeDate=2025-10-28"/>
    <s v="tradeChgRate"/>
    <s v="Hace falta"/>
    <m/>
    <x v="2"/>
    <x v="0"/>
  </r>
  <r>
    <s v="FECHA DE APERTURA ORIGINAL"/>
    <s v="Se usa en compensaciones. Fecha de operación original de derivado que se compensa."/>
    <s v="Trades"/>
    <s v="Get/Trade"/>
    <s v="https://issste.blackrock.com/api/trading/trades/v1/trade?portGroup=STE-MAS&amp;tradeDate=2025-10-28"/>
    <s v="settleDate"/>
    <s v="Hace falta"/>
    <m/>
    <x v="2"/>
    <x v="0"/>
  </r>
  <r>
    <s v="TIPO DE CAMBIO DE LA OPERACION"/>
    <s v="Tipo de cambio de la operación"/>
    <s v="Trades"/>
    <s v="Get/Trade"/>
    <s v="https://issste.blackrock.com/api/trading/trades/v1/trade?portGroup=STE-MAS&amp;tradeDate=2025-10-28"/>
    <s v="secCcy"/>
    <s v="En MO"/>
    <m/>
    <x v="1"/>
    <x v="2"/>
  </r>
  <r>
    <s v="ESTRUCTURA DE DIVISAS PREC/TASA"/>
    <s v="Según catálogo de Consar"/>
    <s v="Trades"/>
    <s v="Get/Trade"/>
    <s v="https://issste.blackrock.com/api/trading/trades/v1/trade?portGroup=STE-MAS&amp;tradeDate=2025-10-28"/>
    <s v="settleCcy"/>
    <s v="Hace falta"/>
    <m/>
    <x v="0"/>
    <x v="0"/>
  </r>
  <r>
    <s v="CTD"/>
    <s v="Cheapest to Delivery"/>
    <m/>
    <m/>
    <s v="No Aplica. Solo para entrega-recibo en especie"/>
    <m/>
    <s v="Hace falta"/>
    <m/>
    <x v="0"/>
    <x v="0"/>
  </r>
  <r>
    <s v="PRECIO CTD"/>
    <s v="Precio del Cheapest to Delivery"/>
    <m/>
    <m/>
    <s v="No Aplica. Solo para entrega-recibo en especie"/>
    <m/>
    <s v="Hace falta"/>
    <m/>
    <x v="0"/>
    <x v="0"/>
  </r>
  <r>
    <s v="TIPO DE ENTREGA"/>
    <s v="F Física  D Diferenciales"/>
    <m/>
    <m/>
    <s v="No Aplica o mediante UDF"/>
    <m/>
    <s v="Catálogo, hace falta"/>
    <m/>
    <x v="0"/>
    <x v="0"/>
  </r>
  <r>
    <s v="NUMERO DE OPERACIÓN "/>
    <m/>
    <m/>
    <m/>
    <s v="No Aplica o mediante UDF"/>
    <m/>
    <s v="No necesario"/>
    <m/>
    <x v="2"/>
    <x v="0"/>
  </r>
  <r>
    <s v="CONSECUTIVO PV"/>
    <m/>
    <m/>
    <m/>
    <m/>
    <m/>
    <s v="No necesario"/>
    <m/>
    <x v="2"/>
    <x v="2"/>
  </r>
  <r>
    <s v="MARGEN SOCIO LIQ "/>
    <s v="En pesos"/>
    <m/>
    <m/>
    <m/>
    <m/>
    <s v="No necesario"/>
    <m/>
    <x v="2"/>
    <x v="2"/>
  </r>
  <r>
    <s v="MARGEN SOCIO OPE "/>
    <s v="En pesos"/>
    <m/>
    <m/>
    <m/>
    <m/>
    <s v="No necesario"/>
    <m/>
    <x v="2"/>
    <x v="2"/>
  </r>
  <r>
    <s v="IMPORTE DE LA COMISION"/>
    <s v="En pesos"/>
    <s v="Trades"/>
    <s v="Get/Trade"/>
    <s v="https://issste.blackrock.com/api/trading/trades/v1/trade?portGroup=STE-MAS&amp;tradeDate=2025-10-28"/>
    <s v="commission"/>
    <s v="En MO"/>
    <m/>
    <x v="1"/>
    <x v="1"/>
  </r>
  <r>
    <s v="IVA S/COMISION TOTAL"/>
    <s v="En pesos"/>
    <s v="Trades"/>
    <s v="Get/Trade"/>
    <s v="https://issste.blackrock.com/api/trading/trades/v1/trade?portGroup=STE-MAS&amp;tradeDate=2025-10-28"/>
    <s v="fees"/>
    <s v="En MO"/>
    <m/>
    <x v="1"/>
    <x v="1"/>
  </r>
  <r>
    <s v="OBSERVACIONES ESPECIALES"/>
    <s v="Sin caracteres especiales"/>
    <m/>
    <m/>
    <s v="No Aplica"/>
    <m/>
    <s v="Hace falta, CDF"/>
    <m/>
    <x v="0"/>
    <x v="0"/>
  </r>
  <r>
    <s v="CLAVE DE PIZARRA SIEFORE"/>
    <s v="Clave de Pizarra de la Siefore con la que se hizo la operación."/>
    <s v="Trades"/>
    <s v="Get/Trade"/>
    <s v="https://issste.blackrock.com/api/trading/trades/v1/trade?portGroup=STE-MAS&amp;tradeDate=2025-10-28"/>
    <s v="portfolioTicker"/>
    <s v="En MO"/>
    <m/>
    <x v="1"/>
    <x v="1"/>
  </r>
  <r>
    <s v="TASA VALOR PRESENTE / FIJA FUT. SWAPS"/>
    <s v="Tasa Valor Presente (sólo en compensaciones de Fwds) / Tasa Fija en Futuros Swaps"/>
    <s v="Trades"/>
    <s v="Get/Trade"/>
    <s v="https://issste.blackrock.com/api/trading/trades/v1/trade?portGroup=STE-MAS&amp;tradeDate=2025-10-28"/>
    <s v="tradeCoupon"/>
    <s v="Hace falta"/>
    <m/>
    <x v="0"/>
    <x v="2"/>
  </r>
  <r>
    <s v="UTIL/PÉRD. VALOR PRESENTE / MONTO CUPON"/>
    <s v="Monto de Utilidad / Pérdida Valor Presente. Monto pago/cobro cupón en SWAPS. (Monto con I.S.R.) "/>
    <s v="Trades"/>
    <s v="Get/Trade"/>
    <s v="https://issste.blackrock.com/api/trading/trades/v1/trade?portGroup=STE-MAS&amp;tradeDate=2025-10-28"/>
    <s v="relQuantity"/>
    <s v="No necesario para Futuros"/>
    <m/>
    <x v="2"/>
    <x v="2"/>
  </r>
  <r>
    <s v="IMPORTE DE LA PRIMA"/>
    <s v="En la moneda original"/>
    <s v="Trades"/>
    <s v="Get/Trade"/>
    <s v="https://issste.blackrock.com/api/trading/trades/v1/trade?portGroup=STE-MAS&amp;tradeDate=2025-10-28"/>
    <s v="secCcy"/>
    <s v="No necesario para Futuros"/>
    <m/>
    <x v="2"/>
    <x v="2"/>
  </r>
  <r>
    <s v="CLAVE LIQUIDACION"/>
    <s v="0=Hoy  1=24hrs  2=48hrs  "/>
    <s v="Trades"/>
    <s v="Get/Trade"/>
    <s v="https://issste.blackrock.com/api/trading/trades/v1/trade?portGroup=STE-MAS&amp;tradeDate=2025-10-28"/>
    <s v="settleDate"/>
    <s v="Catálogo, hace falta"/>
    <m/>
    <x v="0"/>
    <x v="0"/>
  </r>
  <r>
    <s v="CLAVE CONSAR CONTRAPARTE"/>
    <s v="Justificado a la izquierda"/>
    <s v="COUNTERPARTY_CONSAR"/>
    <s v="Get/Issuer"/>
    <s v="https://issste.blackrock.com/api/reference-data/issuers/v1/issuer?issuerId=R61594"/>
    <s v="issuerShortName"/>
    <s v="En MO"/>
    <m/>
    <x v="2"/>
    <x v="0"/>
  </r>
  <r>
    <s v="NO. CONTRATO CONTRAPARTE FRONT"/>
    <s v="Justificado a la izquierda"/>
    <s v="CONTRACT_NO"/>
    <s v="Get/Issuer"/>
    <s v="https://issste.blackrock.com/api/reference-data/issuers/v1/issuer?issuerId=R61594"/>
    <s v="issuerShortName"/>
    <s v="En MO"/>
    <m/>
    <x v="2"/>
    <x v="0"/>
  </r>
  <r>
    <s v="TIPO DE INSTRUMENTO"/>
    <s v="Consultar tabla adjunta"/>
    <s v="Trades"/>
    <s v="Get/Trade"/>
    <s v="https://issste.blackrock.com/api/trading/trades/v1/trade?portGroup=STE-MAS&amp;tradeDate=2025-10-28"/>
    <s v="secGroup-secType"/>
    <s v="Catálogo, hace falta"/>
    <m/>
    <x v="0"/>
    <x v="0"/>
  </r>
  <r>
    <s v="TIPO DE CONCERTACIÓN"/>
    <s v="(T)elefónica  /  (E)lectrónica"/>
    <s v="EXECUTION_TYPE"/>
    <s v="Get/Trade"/>
    <s v="https://issste.blackrock.com/api/trading/trades/v1/trade?portGroup=STE-MAS&amp;tradeDate=2025-10-28"/>
    <s v="tradeExDeskType"/>
    <s v="Catálogo, en MO"/>
    <m/>
    <x v="2"/>
    <x v="0"/>
  </r>
  <r>
    <s v="COTIZA EN PRECIO/TASA"/>
    <s v="(P)recio  /   (T)asa"/>
    <m/>
    <s v="Get/Trade"/>
    <s v="https://issste.blackrock.com/api/trading/trades/v1/trade?portGroup=STE-MAS&amp;tradeDate=2025-10-28"/>
    <s v="tradePrice"/>
    <s v="Catálogo, hace falta"/>
    <m/>
    <x v="2"/>
    <x v="0"/>
  </r>
  <r>
    <s v="PLAZO REFERENCIA TASA"/>
    <s v="Cuando cotiza en tasa"/>
    <s v="Securities"/>
    <s v="Get/Security-master"/>
    <s v="https://issste.blackrock.com/api/reference-data/securities/v1/security-master?assetId=BST1AY9G5&amp;assetIdType=CUSIP"/>
    <s v="maturity"/>
    <s v="Hace falta"/>
    <m/>
    <x v="0"/>
    <x v="0"/>
  </r>
  <r>
    <s v="FECHA VENCIMIENTO EMISORA"/>
    <s v="En formato AAAAMMDD (Ultimo día de negociación)"/>
    <s v="Securities"/>
    <s v="Get/Security-master"/>
    <s v="https://issste.blackrock.com/api/reference-data/securities/v1/security-master?assetId=BST1AY9G5&amp;assetIdType=CUSIP"/>
    <s v="maturity"/>
    <s v="Hace falta"/>
    <m/>
    <x v="0"/>
    <x v="0"/>
  </r>
  <r>
    <s v="FECHA LIQUIDACIÓN EMISORA"/>
    <s v="Fecha de Liquidación AAAAMMDD del Vencimiento"/>
    <s v="Securities"/>
    <s v="Get/Security-master"/>
    <s v="https://issste.blackrock.com/api/reference-data/securities/v1/security-master?assetId=BST1AY9G5&amp;assetIdType=CUSIP"/>
    <s v="maturity"/>
    <s v="Hace falta"/>
    <m/>
    <x v="0"/>
    <x v="0"/>
  </r>
  <r>
    <s v="DIVISA SUBYACENTE"/>
    <s v="Consultar tabla adjunta"/>
    <s v="Trades"/>
    <s v="Get/Trade"/>
    <s v="https://issste.blackrock.com/api/trading/trades/v1/trade?portGroup=STE-MAS&amp;tradeDate=2025-10-28"/>
    <s v="secCcy"/>
    <s v="Catálogo, hace falta"/>
    <m/>
    <x v="0"/>
    <x v="0"/>
  </r>
  <r>
    <s v="DIVISA TAMAÑO CONTRATO"/>
    <s v="Consultar tabla adjunta"/>
    <s v="Trades"/>
    <s v="Get/Trade"/>
    <s v="https://issste.blackrock.com/api/trading/trades/v1/trade?portGroup=STE-MAS&amp;tradeDate=2025-10-28"/>
    <s v="secCcy"/>
    <s v="Catálogo, hace falta"/>
    <m/>
    <x v="0"/>
    <x v="0"/>
  </r>
  <r>
    <s v="TIPO DE OPCIÓN"/>
    <s v="Consultar tabla adjunta (En blanco para Futuros, Forwards, Swaps)"/>
    <s v="Trades"/>
    <s v="Get/Trade"/>
    <s v="https://issste.blackrock.com/api/trading/trades/v1/trade?portGroup=STE-MAS&amp;tradeDate=2025-10-28"/>
    <s v="secGroup"/>
    <s v="Catálogo, no necesario para Futuros"/>
    <m/>
    <x v="2"/>
    <x v="0"/>
  </r>
  <r>
    <s v="SUBCLASE DE OPCIÓN"/>
    <s v="Consultar tabla adjunta (En blanco para Futuros, Forwards, Swaps)"/>
    <s v="Trades"/>
    <s v="Get/Trade"/>
    <s v="https://issste.blackrock.com/api/trading/trades/v1/trade?portGroup=STE-MAS&amp;tradeDate=2025-10-28"/>
    <s v="secType"/>
    <s v="Catálogo, no necesario para Futuros"/>
    <m/>
    <x v="2"/>
    <x v="0"/>
  </r>
  <r>
    <s v="FOLIO DERIVADO FRONT"/>
    <s v="Folio asignado por el Front a esa posición de derivados"/>
    <m/>
    <m/>
    <s v="Propuesta: UDF dentro del Trade"/>
    <m/>
    <s v="Hace falta, CDF"/>
    <m/>
    <x v="2"/>
    <x v="0"/>
  </r>
  <r>
    <s v="NOCIONAL ORIGINAL"/>
    <s v="Nocional original swaps"/>
    <s v="Trades"/>
    <s v="Get/Trade"/>
    <s v="https://issste.blackrock.com/api/trading/trades/v1/trade?portGroup=STE-MAS&amp;tradeDate=2025-10-28"/>
    <s v="relQuantity*contractSize*portFxRate*tradePrice"/>
    <s v="No necesario para Futuros"/>
    <m/>
    <x v="2"/>
    <x v="0"/>
  </r>
  <r>
    <s v="FOLIO CONFIRMACIÓN CONTRAPARTE"/>
    <s v="Folio Confirmación Contraparte"/>
    <m/>
    <m/>
    <s v="Propuesta: UDF dentro del Trade"/>
    <m/>
    <s v="Hace falta, CDF"/>
    <m/>
    <x v="2"/>
    <x v="0"/>
  </r>
  <r>
    <s v="I.S.R. A RETENER"/>
    <s v="I.S.R. a retener. Sólo en pagos Swaps, Forwards (Compensaciones y flujos)"/>
    <s v="FEE_ISR"/>
    <s v="Get/Trade"/>
    <s v="https://issste.blackrock.com/api/trading/trades/v1/trade?portGroup=STE-MAS&amp;tradeDate=2025-10-28"/>
    <s v="fees"/>
    <s v="En MO"/>
    <m/>
    <x v="2"/>
    <x v="1"/>
  </r>
  <r>
    <s v="DELTA PARA COBERTURA"/>
    <s v="Delta calculada por el área de Inversiones y riesgos con fines de cobertura"/>
    <m/>
    <m/>
    <m/>
    <m/>
    <s v="No necesario para Futuros"/>
    <m/>
    <x v="2"/>
    <x v="0"/>
  </r>
  <r>
    <s v="FOLIO COBERTURA DIVISAS"/>
    <s v="Para operaciones de cobertura, es un folio para ligar a todas las operaciones que dan esa cobertura."/>
    <m/>
    <m/>
    <m/>
    <m/>
    <s v="No necesario"/>
    <m/>
    <x v="2"/>
    <x v="0"/>
  </r>
  <r>
    <s v="DIVISA DE LIQUIDACION"/>
    <s v="Consultar tabla adjunta"/>
    <s v="Trades"/>
    <s v="Get/Trade"/>
    <s v="https://issste.blackrock.com/api/trading/trades/v1/trade?portGroup=STE-MAS&amp;tradeDate=2025-10-28"/>
    <s v="settleCcy"/>
    <s v="En MO"/>
    <m/>
    <x v="0"/>
    <x v="1"/>
  </r>
  <r>
    <s v="CLAVE SOCIO OPERADOR"/>
    <s v="Justificado a la izquierda"/>
    <s v="Issuers"/>
    <s v="Get/Issuer"/>
    <s v="https://issste.blackrock.com/api/reference-data/issuers/v1/issuer?issuerId=R61594"/>
    <s v="issuerLongName"/>
    <s v="Catálogo, hace falta CDF"/>
    <m/>
    <x v="0"/>
    <x v="0"/>
  </r>
  <r>
    <s v="CLAVE CONSAR SOCIO OPERADOR"/>
    <s v="Justificado a la izquierda"/>
    <s v="Issuers"/>
    <s v="Get/Issuer"/>
    <s v="https://issste.blackrock.com/api/reference-data/issuers/v1/issuer?issuerId=R61594"/>
    <s v="issuerLongName"/>
    <s v="Catálogo, hace falta CDF"/>
    <m/>
    <x v="0"/>
    <x v="0"/>
  </r>
  <r>
    <s v="NO. CONTRATO SOCIO OPERADOR"/>
    <s v="Justificado a la izquierda"/>
    <m/>
    <m/>
    <s v="Propuesta: UDF dentro del Trade"/>
    <m/>
    <s v="Hace falta, CDF"/>
    <m/>
    <x v="2"/>
    <x v="0"/>
  </r>
  <r>
    <s v="PRECIO O TASA PACTADA"/>
    <s v="Precio o Tasa Pactados en el movimiento. Tasa del Nuevo cupón en Pagos de cupón de swaps."/>
    <s v="Trades"/>
    <s v="Get/Trade"/>
    <s v="https://issste.blackrock.com/api/trading/trades/v1/trade?portGroup=STE-MAS&amp;tradeDate=2025-10-28"/>
    <s v="tradePrice"/>
    <s v="En MO"/>
    <m/>
    <x v="1"/>
    <x v="1"/>
  </r>
  <r>
    <s v="PRECIO O TASA ORIGINAL"/>
    <s v="Precio o Tasa Pactados originales (sólo en compensaciones). Tasa del cupón del swap que se paga"/>
    <s v="Trades"/>
    <s v="Get/Trade"/>
    <s v="https://issste.blackrock.com/api/trading/trades/v1/trade?portGroup=STE-MAS&amp;tradeDate=2025-10-28"/>
    <s v="tradeCoupon"/>
    <s v="Hace falta"/>
    <m/>
    <x v="2"/>
    <x v="0"/>
  </r>
  <r>
    <s v="CONSECUTIVO PROVEEDOR PRECIOS"/>
    <s v="Consecutivo del Proveedor de Precios"/>
    <m/>
    <m/>
    <s v="Propuesta: UDF dentro del Trade"/>
    <m/>
    <s v="Hace falta, CDF"/>
    <m/>
    <x v="2"/>
    <x v="0"/>
  </r>
  <r>
    <s v="FOLIO ESTRATEGIA DERIVADOS"/>
    <s v="Si la operación pertenece a una estrategia de derivados, se le debe asignar un folio. Justificado a la derecha"/>
    <m/>
    <m/>
    <s v="Propuesta: UDF dentro del Trade"/>
    <m/>
    <s v="Hace falta, CDF"/>
    <m/>
    <x v="2"/>
    <x v="0"/>
  </r>
  <r>
    <s v="FOLIO ESTRATEGIA DERIVADOS ANTERIOR"/>
    <s v="Cuando se compensa un derivado que pertence a una estrategia, se le debe asignar un nuevo folio. Folio anterior a la compensación. Justificado a la derecha"/>
    <m/>
    <m/>
    <s v="Propuesta: UDF dentro del Trade"/>
    <m/>
    <s v="Hace falta, CDF"/>
    <m/>
    <x v="2"/>
    <x v="0"/>
  </r>
  <r>
    <s v="CLAVE CONSAR CAMARA COMPENSACION"/>
    <s v="Justificado a la izquierda"/>
    <s v="Issuers"/>
    <s v="Get/Issuer"/>
    <s v="https://issste.blackrock.com/api/reference-data/issuers/v1/issuer?issuerId=R61594"/>
    <s v="issrExchange"/>
    <s v="Catálogo, hace falta CDF"/>
    <m/>
    <x v="0"/>
    <x v="0"/>
  </r>
  <r>
    <s v="DIVISA LIQUIDACIÓN PRIMA"/>
    <s v="Consultar tabla adjunta"/>
    <s v="Trades"/>
    <s v="Get/Trade"/>
    <s v="https://issste.blackrock.com/api/trading/trades/v1/trade?portGroup=STE-MAS&amp;tradeDate=2025-10-28"/>
    <s v="secCcy"/>
    <s v="No necesario para Futuros"/>
    <m/>
    <x v="0"/>
    <x v="0"/>
  </r>
  <r>
    <s v="TIPO CAMBIO LIQUIDACIÓN PRIMA"/>
    <s v="Tipo de cambio de la prima"/>
    <s v="Trades"/>
    <s v="Get/Trade"/>
    <s v="https://issste.blackrock.com/api/trading/trades/v1/trade?portGroup=STE-MAS&amp;tradeDate=2025-10-28"/>
    <s v="secCcy"/>
    <s v="No necesario para Futuros"/>
    <m/>
    <x v="0"/>
    <x v="0"/>
  </r>
  <r>
    <s v="UNIQUE TRADE (O SWAP) IDENTIFIER"/>
    <s v="Clave del Unique Trade o Swap Identifier de la Operación"/>
    <s v="Trades"/>
    <s v="Get/Trade"/>
    <s v="https://issste.blackrock.com/api/trading/trades/v1/trade?portGroup=STE-MAS&amp;tradeDate=2025-10-28"/>
    <s v="Columna que despliega valores del trade. Usualmente comienza con signo negativo (-)"/>
    <s v="Hace falta"/>
    <m/>
    <x v="2"/>
    <x v="0"/>
  </r>
  <r>
    <s v="BLOOMBERG TICKER"/>
    <s v="Clave del Bloomberg Ticker"/>
    <s v="Trades"/>
    <s v="Get/Trade"/>
    <s v="https://issste.blackrock.com/api/trading/trades/v1/trade?portGroup=STE-MAS&amp;tradeDate=2025-10-28"/>
    <s v="secTicker"/>
    <s v="Hace falta"/>
    <m/>
    <x v="2"/>
    <x v="2"/>
  </r>
  <r>
    <s v="ID POSICION"/>
    <s v="Identificador único de posición"/>
    <s v="Trades"/>
    <s v="Get/Trade"/>
    <s v="https://issste.blackrock.com/api/trading/trades/v1/trade?portGroup=STE-MAS&amp;tradeDate=2025-10-28"/>
    <s v="Columna que despliega valores del trade. Usualmente comienza con signo negativo (-)"/>
    <s v="Hace falta"/>
    <m/>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D6CDA0-2549-47D3-98DF-FDA98335FA8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J7" firstHeaderRow="1" firstDataRow="1" firstDataCol="1"/>
  <pivotFields count="10">
    <pivotField dataField="1"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s>
  <rowFields count="1">
    <field x="9"/>
  </rowFields>
  <rowItems count="4">
    <i>
      <x/>
    </i>
    <i>
      <x v="1"/>
    </i>
    <i>
      <x v="2"/>
    </i>
    <i t="grand">
      <x/>
    </i>
  </rowItems>
  <colItems count="1">
    <i/>
  </colItems>
  <dataFields count="1">
    <dataField name="Count of Camp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ABDCD2-3776-4851-8EE5-4B94B0B1265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0">
    <pivotField dataField="1"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s>
  <rowFields count="1">
    <field x="8"/>
  </rowFields>
  <rowItems count="4">
    <i>
      <x/>
    </i>
    <i>
      <x v="1"/>
    </i>
    <i>
      <x v="2"/>
    </i>
    <i t="grand">
      <x/>
    </i>
  </rowItems>
  <colItems count="1">
    <i/>
  </colItems>
  <dataFields count="1">
    <dataField name="Count of Camp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D70C5-5825-472F-A9FF-6A65B8988C32}">
  <sheetPr>
    <pageSetUpPr fitToPage="1"/>
  </sheetPr>
  <dimension ref="B1:J82"/>
  <sheetViews>
    <sheetView topLeftCell="A4" zoomScaleNormal="100" workbookViewId="0">
      <selection activeCell="I19" sqref="I19"/>
    </sheetView>
  </sheetViews>
  <sheetFormatPr defaultColWidth="12.453125" defaultRowHeight="14"/>
  <cols>
    <col min="1" max="2" width="3.81640625" style="59" customWidth="1"/>
    <col min="3" max="3" width="37.7265625" style="59" bestFit="1" customWidth="1"/>
    <col min="4" max="4" width="6.54296875" style="59" bestFit="1" customWidth="1"/>
    <col min="5" max="5" width="5.54296875" style="59" bestFit="1" customWidth="1"/>
    <col min="6" max="6" width="5.81640625" style="59" bestFit="1" customWidth="1"/>
    <col min="7" max="7" width="12.1796875" style="59" bestFit="1" customWidth="1"/>
    <col min="8" max="8" width="9.81640625" style="59" bestFit="1" customWidth="1"/>
    <col min="9" max="9" width="73.1796875" style="59" customWidth="1"/>
    <col min="10" max="10" width="5.453125" style="61" bestFit="1" customWidth="1"/>
    <col min="11" max="256" width="12.453125" style="59"/>
    <col min="257" max="258" width="3.81640625" style="59" customWidth="1"/>
    <col min="259" max="259" width="37.7265625" style="59" bestFit="1" customWidth="1"/>
    <col min="260" max="260" width="6.54296875" style="59" bestFit="1" customWidth="1"/>
    <col min="261" max="261" width="5.54296875" style="59" bestFit="1" customWidth="1"/>
    <col min="262" max="262" width="5.81640625" style="59" bestFit="1" customWidth="1"/>
    <col min="263" max="263" width="12.1796875" style="59" bestFit="1" customWidth="1"/>
    <col min="264" max="264" width="9.81640625" style="59" bestFit="1" customWidth="1"/>
    <col min="265" max="265" width="73.1796875" style="59" customWidth="1"/>
    <col min="266" max="266" width="5.453125" style="59" bestFit="1" customWidth="1"/>
    <col min="267" max="512" width="12.453125" style="59"/>
    <col min="513" max="514" width="3.81640625" style="59" customWidth="1"/>
    <col min="515" max="515" width="37.7265625" style="59" bestFit="1" customWidth="1"/>
    <col min="516" max="516" width="6.54296875" style="59" bestFit="1" customWidth="1"/>
    <col min="517" max="517" width="5.54296875" style="59" bestFit="1" customWidth="1"/>
    <col min="518" max="518" width="5.81640625" style="59" bestFit="1" customWidth="1"/>
    <col min="519" max="519" width="12.1796875" style="59" bestFit="1" customWidth="1"/>
    <col min="520" max="520" width="9.81640625" style="59" bestFit="1" customWidth="1"/>
    <col min="521" max="521" width="73.1796875" style="59" customWidth="1"/>
    <col min="522" max="522" width="5.453125" style="59" bestFit="1" customWidth="1"/>
    <col min="523" max="768" width="12.453125" style="59"/>
    <col min="769" max="770" width="3.81640625" style="59" customWidth="1"/>
    <col min="771" max="771" width="37.7265625" style="59" bestFit="1" customWidth="1"/>
    <col min="772" max="772" width="6.54296875" style="59" bestFit="1" customWidth="1"/>
    <col min="773" max="773" width="5.54296875" style="59" bestFit="1" customWidth="1"/>
    <col min="774" max="774" width="5.81640625" style="59" bestFit="1" customWidth="1"/>
    <col min="775" max="775" width="12.1796875" style="59" bestFit="1" customWidth="1"/>
    <col min="776" max="776" width="9.81640625" style="59" bestFit="1" customWidth="1"/>
    <col min="777" max="777" width="73.1796875" style="59" customWidth="1"/>
    <col min="778" max="778" width="5.453125" style="59" bestFit="1" customWidth="1"/>
    <col min="779" max="1024" width="12.453125" style="59"/>
    <col min="1025" max="1026" width="3.81640625" style="59" customWidth="1"/>
    <col min="1027" max="1027" width="37.7265625" style="59" bestFit="1" customWidth="1"/>
    <col min="1028" max="1028" width="6.54296875" style="59" bestFit="1" customWidth="1"/>
    <col min="1029" max="1029" width="5.54296875" style="59" bestFit="1" customWidth="1"/>
    <col min="1030" max="1030" width="5.81640625" style="59" bestFit="1" customWidth="1"/>
    <col min="1031" max="1031" width="12.1796875" style="59" bestFit="1" customWidth="1"/>
    <col min="1032" max="1032" width="9.81640625" style="59" bestFit="1" customWidth="1"/>
    <col min="1033" max="1033" width="73.1796875" style="59" customWidth="1"/>
    <col min="1034" max="1034" width="5.453125" style="59" bestFit="1" customWidth="1"/>
    <col min="1035" max="1280" width="12.453125" style="59"/>
    <col min="1281" max="1282" width="3.81640625" style="59" customWidth="1"/>
    <col min="1283" max="1283" width="37.7265625" style="59" bestFit="1" customWidth="1"/>
    <col min="1284" max="1284" width="6.54296875" style="59" bestFit="1" customWidth="1"/>
    <col min="1285" max="1285" width="5.54296875" style="59" bestFit="1" customWidth="1"/>
    <col min="1286" max="1286" width="5.81640625" style="59" bestFit="1" customWidth="1"/>
    <col min="1287" max="1287" width="12.1796875" style="59" bestFit="1" customWidth="1"/>
    <col min="1288" max="1288" width="9.81640625" style="59" bestFit="1" customWidth="1"/>
    <col min="1289" max="1289" width="73.1796875" style="59" customWidth="1"/>
    <col min="1290" max="1290" width="5.453125" style="59" bestFit="1" customWidth="1"/>
    <col min="1291" max="1536" width="12.453125" style="59"/>
    <col min="1537" max="1538" width="3.81640625" style="59" customWidth="1"/>
    <col min="1539" max="1539" width="37.7265625" style="59" bestFit="1" customWidth="1"/>
    <col min="1540" max="1540" width="6.54296875" style="59" bestFit="1" customWidth="1"/>
    <col min="1541" max="1541" width="5.54296875" style="59" bestFit="1" customWidth="1"/>
    <col min="1542" max="1542" width="5.81640625" style="59" bestFit="1" customWidth="1"/>
    <col min="1543" max="1543" width="12.1796875" style="59" bestFit="1" customWidth="1"/>
    <col min="1544" max="1544" width="9.81640625" style="59" bestFit="1" customWidth="1"/>
    <col min="1545" max="1545" width="73.1796875" style="59" customWidth="1"/>
    <col min="1546" max="1546" width="5.453125" style="59" bestFit="1" customWidth="1"/>
    <col min="1547" max="1792" width="12.453125" style="59"/>
    <col min="1793" max="1794" width="3.81640625" style="59" customWidth="1"/>
    <col min="1795" max="1795" width="37.7265625" style="59" bestFit="1" customWidth="1"/>
    <col min="1796" max="1796" width="6.54296875" style="59" bestFit="1" customWidth="1"/>
    <col min="1797" max="1797" width="5.54296875" style="59" bestFit="1" customWidth="1"/>
    <col min="1798" max="1798" width="5.81640625" style="59" bestFit="1" customWidth="1"/>
    <col min="1799" max="1799" width="12.1796875" style="59" bestFit="1" customWidth="1"/>
    <col min="1800" max="1800" width="9.81640625" style="59" bestFit="1" customWidth="1"/>
    <col min="1801" max="1801" width="73.1796875" style="59" customWidth="1"/>
    <col min="1802" max="1802" width="5.453125" style="59" bestFit="1" customWidth="1"/>
    <col min="1803" max="2048" width="12.453125" style="59"/>
    <col min="2049" max="2050" width="3.81640625" style="59" customWidth="1"/>
    <col min="2051" max="2051" width="37.7265625" style="59" bestFit="1" customWidth="1"/>
    <col min="2052" max="2052" width="6.54296875" style="59" bestFit="1" customWidth="1"/>
    <col min="2053" max="2053" width="5.54296875" style="59" bestFit="1" customWidth="1"/>
    <col min="2054" max="2054" width="5.81640625" style="59" bestFit="1" customWidth="1"/>
    <col min="2055" max="2055" width="12.1796875" style="59" bestFit="1" customWidth="1"/>
    <col min="2056" max="2056" width="9.81640625" style="59" bestFit="1" customWidth="1"/>
    <col min="2057" max="2057" width="73.1796875" style="59" customWidth="1"/>
    <col min="2058" max="2058" width="5.453125" style="59" bestFit="1" customWidth="1"/>
    <col min="2059" max="2304" width="12.453125" style="59"/>
    <col min="2305" max="2306" width="3.81640625" style="59" customWidth="1"/>
    <col min="2307" max="2307" width="37.7265625" style="59" bestFit="1" customWidth="1"/>
    <col min="2308" max="2308" width="6.54296875" style="59" bestFit="1" customWidth="1"/>
    <col min="2309" max="2309" width="5.54296875" style="59" bestFit="1" customWidth="1"/>
    <col min="2310" max="2310" width="5.81640625" style="59" bestFit="1" customWidth="1"/>
    <col min="2311" max="2311" width="12.1796875" style="59" bestFit="1" customWidth="1"/>
    <col min="2312" max="2312" width="9.81640625" style="59" bestFit="1" customWidth="1"/>
    <col min="2313" max="2313" width="73.1796875" style="59" customWidth="1"/>
    <col min="2314" max="2314" width="5.453125" style="59" bestFit="1" customWidth="1"/>
    <col min="2315" max="2560" width="12.453125" style="59"/>
    <col min="2561" max="2562" width="3.81640625" style="59" customWidth="1"/>
    <col min="2563" max="2563" width="37.7265625" style="59" bestFit="1" customWidth="1"/>
    <col min="2564" max="2564" width="6.54296875" style="59" bestFit="1" customWidth="1"/>
    <col min="2565" max="2565" width="5.54296875" style="59" bestFit="1" customWidth="1"/>
    <col min="2566" max="2566" width="5.81640625" style="59" bestFit="1" customWidth="1"/>
    <col min="2567" max="2567" width="12.1796875" style="59" bestFit="1" customWidth="1"/>
    <col min="2568" max="2568" width="9.81640625" style="59" bestFit="1" customWidth="1"/>
    <col min="2569" max="2569" width="73.1796875" style="59" customWidth="1"/>
    <col min="2570" max="2570" width="5.453125" style="59" bestFit="1" customWidth="1"/>
    <col min="2571" max="2816" width="12.453125" style="59"/>
    <col min="2817" max="2818" width="3.81640625" style="59" customWidth="1"/>
    <col min="2819" max="2819" width="37.7265625" style="59" bestFit="1" customWidth="1"/>
    <col min="2820" max="2820" width="6.54296875" style="59" bestFit="1" customWidth="1"/>
    <col min="2821" max="2821" width="5.54296875" style="59" bestFit="1" customWidth="1"/>
    <col min="2822" max="2822" width="5.81640625" style="59" bestFit="1" customWidth="1"/>
    <col min="2823" max="2823" width="12.1796875" style="59" bestFit="1" customWidth="1"/>
    <col min="2824" max="2824" width="9.81640625" style="59" bestFit="1" customWidth="1"/>
    <col min="2825" max="2825" width="73.1796875" style="59" customWidth="1"/>
    <col min="2826" max="2826" width="5.453125" style="59" bestFit="1" customWidth="1"/>
    <col min="2827" max="3072" width="12.453125" style="59"/>
    <col min="3073" max="3074" width="3.81640625" style="59" customWidth="1"/>
    <col min="3075" max="3075" width="37.7265625" style="59" bestFit="1" customWidth="1"/>
    <col min="3076" max="3076" width="6.54296875" style="59" bestFit="1" customWidth="1"/>
    <col min="3077" max="3077" width="5.54296875" style="59" bestFit="1" customWidth="1"/>
    <col min="3078" max="3078" width="5.81640625" style="59" bestFit="1" customWidth="1"/>
    <col min="3079" max="3079" width="12.1796875" style="59" bestFit="1" customWidth="1"/>
    <col min="3080" max="3080" width="9.81640625" style="59" bestFit="1" customWidth="1"/>
    <col min="3081" max="3081" width="73.1796875" style="59" customWidth="1"/>
    <col min="3082" max="3082" width="5.453125" style="59" bestFit="1" customWidth="1"/>
    <col min="3083" max="3328" width="12.453125" style="59"/>
    <col min="3329" max="3330" width="3.81640625" style="59" customWidth="1"/>
    <col min="3331" max="3331" width="37.7265625" style="59" bestFit="1" customWidth="1"/>
    <col min="3332" max="3332" width="6.54296875" style="59" bestFit="1" customWidth="1"/>
    <col min="3333" max="3333" width="5.54296875" style="59" bestFit="1" customWidth="1"/>
    <col min="3334" max="3334" width="5.81640625" style="59" bestFit="1" customWidth="1"/>
    <col min="3335" max="3335" width="12.1796875" style="59" bestFit="1" customWidth="1"/>
    <col min="3336" max="3336" width="9.81640625" style="59" bestFit="1" customWidth="1"/>
    <col min="3337" max="3337" width="73.1796875" style="59" customWidth="1"/>
    <col min="3338" max="3338" width="5.453125" style="59" bestFit="1" customWidth="1"/>
    <col min="3339" max="3584" width="12.453125" style="59"/>
    <col min="3585" max="3586" width="3.81640625" style="59" customWidth="1"/>
    <col min="3587" max="3587" width="37.7265625" style="59" bestFit="1" customWidth="1"/>
    <col min="3588" max="3588" width="6.54296875" style="59" bestFit="1" customWidth="1"/>
    <col min="3589" max="3589" width="5.54296875" style="59" bestFit="1" customWidth="1"/>
    <col min="3590" max="3590" width="5.81640625" style="59" bestFit="1" customWidth="1"/>
    <col min="3591" max="3591" width="12.1796875" style="59" bestFit="1" customWidth="1"/>
    <col min="3592" max="3592" width="9.81640625" style="59" bestFit="1" customWidth="1"/>
    <col min="3593" max="3593" width="73.1796875" style="59" customWidth="1"/>
    <col min="3594" max="3594" width="5.453125" style="59" bestFit="1" customWidth="1"/>
    <col min="3595" max="3840" width="12.453125" style="59"/>
    <col min="3841" max="3842" width="3.81640625" style="59" customWidth="1"/>
    <col min="3843" max="3843" width="37.7265625" style="59" bestFit="1" customWidth="1"/>
    <col min="3844" max="3844" width="6.54296875" style="59" bestFit="1" customWidth="1"/>
    <col min="3845" max="3845" width="5.54296875" style="59" bestFit="1" customWidth="1"/>
    <col min="3846" max="3846" width="5.81640625" style="59" bestFit="1" customWidth="1"/>
    <col min="3847" max="3847" width="12.1796875" style="59" bestFit="1" customWidth="1"/>
    <col min="3848" max="3848" width="9.81640625" style="59" bestFit="1" customWidth="1"/>
    <col min="3849" max="3849" width="73.1796875" style="59" customWidth="1"/>
    <col min="3850" max="3850" width="5.453125" style="59" bestFit="1" customWidth="1"/>
    <col min="3851" max="4096" width="12.453125" style="59"/>
    <col min="4097" max="4098" width="3.81640625" style="59" customWidth="1"/>
    <col min="4099" max="4099" width="37.7265625" style="59" bestFit="1" customWidth="1"/>
    <col min="4100" max="4100" width="6.54296875" style="59" bestFit="1" customWidth="1"/>
    <col min="4101" max="4101" width="5.54296875" style="59" bestFit="1" customWidth="1"/>
    <col min="4102" max="4102" width="5.81640625" style="59" bestFit="1" customWidth="1"/>
    <col min="4103" max="4103" width="12.1796875" style="59" bestFit="1" customWidth="1"/>
    <col min="4104" max="4104" width="9.81640625" style="59" bestFit="1" customWidth="1"/>
    <col min="4105" max="4105" width="73.1796875" style="59" customWidth="1"/>
    <col min="4106" max="4106" width="5.453125" style="59" bestFit="1" customWidth="1"/>
    <col min="4107" max="4352" width="12.453125" style="59"/>
    <col min="4353" max="4354" width="3.81640625" style="59" customWidth="1"/>
    <col min="4355" max="4355" width="37.7265625" style="59" bestFit="1" customWidth="1"/>
    <col min="4356" max="4356" width="6.54296875" style="59" bestFit="1" customWidth="1"/>
    <col min="4357" max="4357" width="5.54296875" style="59" bestFit="1" customWidth="1"/>
    <col min="4358" max="4358" width="5.81640625" style="59" bestFit="1" customWidth="1"/>
    <col min="4359" max="4359" width="12.1796875" style="59" bestFit="1" customWidth="1"/>
    <col min="4360" max="4360" width="9.81640625" style="59" bestFit="1" customWidth="1"/>
    <col min="4361" max="4361" width="73.1796875" style="59" customWidth="1"/>
    <col min="4362" max="4362" width="5.453125" style="59" bestFit="1" customWidth="1"/>
    <col min="4363" max="4608" width="12.453125" style="59"/>
    <col min="4609" max="4610" width="3.81640625" style="59" customWidth="1"/>
    <col min="4611" max="4611" width="37.7265625" style="59" bestFit="1" customWidth="1"/>
    <col min="4612" max="4612" width="6.54296875" style="59" bestFit="1" customWidth="1"/>
    <col min="4613" max="4613" width="5.54296875" style="59" bestFit="1" customWidth="1"/>
    <col min="4614" max="4614" width="5.81640625" style="59" bestFit="1" customWidth="1"/>
    <col min="4615" max="4615" width="12.1796875" style="59" bestFit="1" customWidth="1"/>
    <col min="4616" max="4616" width="9.81640625" style="59" bestFit="1" customWidth="1"/>
    <col min="4617" max="4617" width="73.1796875" style="59" customWidth="1"/>
    <col min="4618" max="4618" width="5.453125" style="59" bestFit="1" customWidth="1"/>
    <col min="4619" max="4864" width="12.453125" style="59"/>
    <col min="4865" max="4866" width="3.81640625" style="59" customWidth="1"/>
    <col min="4867" max="4867" width="37.7265625" style="59" bestFit="1" customWidth="1"/>
    <col min="4868" max="4868" width="6.54296875" style="59" bestFit="1" customWidth="1"/>
    <col min="4869" max="4869" width="5.54296875" style="59" bestFit="1" customWidth="1"/>
    <col min="4870" max="4870" width="5.81640625" style="59" bestFit="1" customWidth="1"/>
    <col min="4871" max="4871" width="12.1796875" style="59" bestFit="1" customWidth="1"/>
    <col min="4872" max="4872" width="9.81640625" style="59" bestFit="1" customWidth="1"/>
    <col min="4873" max="4873" width="73.1796875" style="59" customWidth="1"/>
    <col min="4874" max="4874" width="5.453125" style="59" bestFit="1" customWidth="1"/>
    <col min="4875" max="5120" width="12.453125" style="59"/>
    <col min="5121" max="5122" width="3.81640625" style="59" customWidth="1"/>
    <col min="5123" max="5123" width="37.7265625" style="59" bestFit="1" customWidth="1"/>
    <col min="5124" max="5124" width="6.54296875" style="59" bestFit="1" customWidth="1"/>
    <col min="5125" max="5125" width="5.54296875" style="59" bestFit="1" customWidth="1"/>
    <col min="5126" max="5126" width="5.81640625" style="59" bestFit="1" customWidth="1"/>
    <col min="5127" max="5127" width="12.1796875" style="59" bestFit="1" customWidth="1"/>
    <col min="5128" max="5128" width="9.81640625" style="59" bestFit="1" customWidth="1"/>
    <col min="5129" max="5129" width="73.1796875" style="59" customWidth="1"/>
    <col min="5130" max="5130" width="5.453125" style="59" bestFit="1" customWidth="1"/>
    <col min="5131" max="5376" width="12.453125" style="59"/>
    <col min="5377" max="5378" width="3.81640625" style="59" customWidth="1"/>
    <col min="5379" max="5379" width="37.7265625" style="59" bestFit="1" customWidth="1"/>
    <col min="5380" max="5380" width="6.54296875" style="59" bestFit="1" customWidth="1"/>
    <col min="5381" max="5381" width="5.54296875" style="59" bestFit="1" customWidth="1"/>
    <col min="5382" max="5382" width="5.81640625" style="59" bestFit="1" customWidth="1"/>
    <col min="5383" max="5383" width="12.1796875" style="59" bestFit="1" customWidth="1"/>
    <col min="5384" max="5384" width="9.81640625" style="59" bestFit="1" customWidth="1"/>
    <col min="5385" max="5385" width="73.1796875" style="59" customWidth="1"/>
    <col min="5386" max="5386" width="5.453125" style="59" bestFit="1" customWidth="1"/>
    <col min="5387" max="5632" width="12.453125" style="59"/>
    <col min="5633" max="5634" width="3.81640625" style="59" customWidth="1"/>
    <col min="5635" max="5635" width="37.7265625" style="59" bestFit="1" customWidth="1"/>
    <col min="5636" max="5636" width="6.54296875" style="59" bestFit="1" customWidth="1"/>
    <col min="5637" max="5637" width="5.54296875" style="59" bestFit="1" customWidth="1"/>
    <col min="5638" max="5638" width="5.81640625" style="59" bestFit="1" customWidth="1"/>
    <col min="5639" max="5639" width="12.1796875" style="59" bestFit="1" customWidth="1"/>
    <col min="5640" max="5640" width="9.81640625" style="59" bestFit="1" customWidth="1"/>
    <col min="5641" max="5641" width="73.1796875" style="59" customWidth="1"/>
    <col min="5642" max="5642" width="5.453125" style="59" bestFit="1" customWidth="1"/>
    <col min="5643" max="5888" width="12.453125" style="59"/>
    <col min="5889" max="5890" width="3.81640625" style="59" customWidth="1"/>
    <col min="5891" max="5891" width="37.7265625" style="59" bestFit="1" customWidth="1"/>
    <col min="5892" max="5892" width="6.54296875" style="59" bestFit="1" customWidth="1"/>
    <col min="5893" max="5893" width="5.54296875" style="59" bestFit="1" customWidth="1"/>
    <col min="5894" max="5894" width="5.81640625" style="59" bestFit="1" customWidth="1"/>
    <col min="5895" max="5895" width="12.1796875" style="59" bestFit="1" customWidth="1"/>
    <col min="5896" max="5896" width="9.81640625" style="59" bestFit="1" customWidth="1"/>
    <col min="5897" max="5897" width="73.1796875" style="59" customWidth="1"/>
    <col min="5898" max="5898" width="5.453125" style="59" bestFit="1" customWidth="1"/>
    <col min="5899" max="6144" width="12.453125" style="59"/>
    <col min="6145" max="6146" width="3.81640625" style="59" customWidth="1"/>
    <col min="6147" max="6147" width="37.7265625" style="59" bestFit="1" customWidth="1"/>
    <col min="6148" max="6148" width="6.54296875" style="59" bestFit="1" customWidth="1"/>
    <col min="6149" max="6149" width="5.54296875" style="59" bestFit="1" customWidth="1"/>
    <col min="6150" max="6150" width="5.81640625" style="59" bestFit="1" customWidth="1"/>
    <col min="6151" max="6151" width="12.1796875" style="59" bestFit="1" customWidth="1"/>
    <col min="6152" max="6152" width="9.81640625" style="59" bestFit="1" customWidth="1"/>
    <col min="6153" max="6153" width="73.1796875" style="59" customWidth="1"/>
    <col min="6154" max="6154" width="5.453125" style="59" bestFit="1" customWidth="1"/>
    <col min="6155" max="6400" width="12.453125" style="59"/>
    <col min="6401" max="6402" width="3.81640625" style="59" customWidth="1"/>
    <col min="6403" max="6403" width="37.7265625" style="59" bestFit="1" customWidth="1"/>
    <col min="6404" max="6404" width="6.54296875" style="59" bestFit="1" customWidth="1"/>
    <col min="6405" max="6405" width="5.54296875" style="59" bestFit="1" customWidth="1"/>
    <col min="6406" max="6406" width="5.81640625" style="59" bestFit="1" customWidth="1"/>
    <col min="6407" max="6407" width="12.1796875" style="59" bestFit="1" customWidth="1"/>
    <col min="6408" max="6408" width="9.81640625" style="59" bestFit="1" customWidth="1"/>
    <col min="6409" max="6409" width="73.1796875" style="59" customWidth="1"/>
    <col min="6410" max="6410" width="5.453125" style="59" bestFit="1" customWidth="1"/>
    <col min="6411" max="6656" width="12.453125" style="59"/>
    <col min="6657" max="6658" width="3.81640625" style="59" customWidth="1"/>
    <col min="6659" max="6659" width="37.7265625" style="59" bestFit="1" customWidth="1"/>
    <col min="6660" max="6660" width="6.54296875" style="59" bestFit="1" customWidth="1"/>
    <col min="6661" max="6661" width="5.54296875" style="59" bestFit="1" customWidth="1"/>
    <col min="6662" max="6662" width="5.81640625" style="59" bestFit="1" customWidth="1"/>
    <col min="6663" max="6663" width="12.1796875" style="59" bestFit="1" customWidth="1"/>
    <col min="6664" max="6664" width="9.81640625" style="59" bestFit="1" customWidth="1"/>
    <col min="6665" max="6665" width="73.1796875" style="59" customWidth="1"/>
    <col min="6666" max="6666" width="5.453125" style="59" bestFit="1" customWidth="1"/>
    <col min="6667" max="6912" width="12.453125" style="59"/>
    <col min="6913" max="6914" width="3.81640625" style="59" customWidth="1"/>
    <col min="6915" max="6915" width="37.7265625" style="59" bestFit="1" customWidth="1"/>
    <col min="6916" max="6916" width="6.54296875" style="59" bestFit="1" customWidth="1"/>
    <col min="6917" max="6917" width="5.54296875" style="59" bestFit="1" customWidth="1"/>
    <col min="6918" max="6918" width="5.81640625" style="59" bestFit="1" customWidth="1"/>
    <col min="6919" max="6919" width="12.1796875" style="59" bestFit="1" customWidth="1"/>
    <col min="6920" max="6920" width="9.81640625" style="59" bestFit="1" customWidth="1"/>
    <col min="6921" max="6921" width="73.1796875" style="59" customWidth="1"/>
    <col min="6922" max="6922" width="5.453125" style="59" bestFit="1" customWidth="1"/>
    <col min="6923" max="7168" width="12.453125" style="59"/>
    <col min="7169" max="7170" width="3.81640625" style="59" customWidth="1"/>
    <col min="7171" max="7171" width="37.7265625" style="59" bestFit="1" customWidth="1"/>
    <col min="7172" max="7172" width="6.54296875" style="59" bestFit="1" customWidth="1"/>
    <col min="7173" max="7173" width="5.54296875" style="59" bestFit="1" customWidth="1"/>
    <col min="7174" max="7174" width="5.81640625" style="59" bestFit="1" customWidth="1"/>
    <col min="7175" max="7175" width="12.1796875" style="59" bestFit="1" customWidth="1"/>
    <col min="7176" max="7176" width="9.81640625" style="59" bestFit="1" customWidth="1"/>
    <col min="7177" max="7177" width="73.1796875" style="59" customWidth="1"/>
    <col min="7178" max="7178" width="5.453125" style="59" bestFit="1" customWidth="1"/>
    <col min="7179" max="7424" width="12.453125" style="59"/>
    <col min="7425" max="7426" width="3.81640625" style="59" customWidth="1"/>
    <col min="7427" max="7427" width="37.7265625" style="59" bestFit="1" customWidth="1"/>
    <col min="7428" max="7428" width="6.54296875" style="59" bestFit="1" customWidth="1"/>
    <col min="7429" max="7429" width="5.54296875" style="59" bestFit="1" customWidth="1"/>
    <col min="7430" max="7430" width="5.81640625" style="59" bestFit="1" customWidth="1"/>
    <col min="7431" max="7431" width="12.1796875" style="59" bestFit="1" customWidth="1"/>
    <col min="7432" max="7432" width="9.81640625" style="59" bestFit="1" customWidth="1"/>
    <col min="7433" max="7433" width="73.1796875" style="59" customWidth="1"/>
    <col min="7434" max="7434" width="5.453125" style="59" bestFit="1" customWidth="1"/>
    <col min="7435" max="7680" width="12.453125" style="59"/>
    <col min="7681" max="7682" width="3.81640625" style="59" customWidth="1"/>
    <col min="7683" max="7683" width="37.7265625" style="59" bestFit="1" customWidth="1"/>
    <col min="7684" max="7684" width="6.54296875" style="59" bestFit="1" customWidth="1"/>
    <col min="7685" max="7685" width="5.54296875" style="59" bestFit="1" customWidth="1"/>
    <col min="7686" max="7686" width="5.81640625" style="59" bestFit="1" customWidth="1"/>
    <col min="7687" max="7687" width="12.1796875" style="59" bestFit="1" customWidth="1"/>
    <col min="7688" max="7688" width="9.81640625" style="59" bestFit="1" customWidth="1"/>
    <col min="7689" max="7689" width="73.1796875" style="59" customWidth="1"/>
    <col min="7690" max="7690" width="5.453125" style="59" bestFit="1" customWidth="1"/>
    <col min="7691" max="7936" width="12.453125" style="59"/>
    <col min="7937" max="7938" width="3.81640625" style="59" customWidth="1"/>
    <col min="7939" max="7939" width="37.7265625" style="59" bestFit="1" customWidth="1"/>
    <col min="7940" max="7940" width="6.54296875" style="59" bestFit="1" customWidth="1"/>
    <col min="7941" max="7941" width="5.54296875" style="59" bestFit="1" customWidth="1"/>
    <col min="7942" max="7942" width="5.81640625" style="59" bestFit="1" customWidth="1"/>
    <col min="7943" max="7943" width="12.1796875" style="59" bestFit="1" customWidth="1"/>
    <col min="7944" max="7944" width="9.81640625" style="59" bestFit="1" customWidth="1"/>
    <col min="7945" max="7945" width="73.1796875" style="59" customWidth="1"/>
    <col min="7946" max="7946" width="5.453125" style="59" bestFit="1" customWidth="1"/>
    <col min="7947" max="8192" width="12.453125" style="59"/>
    <col min="8193" max="8194" width="3.81640625" style="59" customWidth="1"/>
    <col min="8195" max="8195" width="37.7265625" style="59" bestFit="1" customWidth="1"/>
    <col min="8196" max="8196" width="6.54296875" style="59" bestFit="1" customWidth="1"/>
    <col min="8197" max="8197" width="5.54296875" style="59" bestFit="1" customWidth="1"/>
    <col min="8198" max="8198" width="5.81640625" style="59" bestFit="1" customWidth="1"/>
    <col min="8199" max="8199" width="12.1796875" style="59" bestFit="1" customWidth="1"/>
    <col min="8200" max="8200" width="9.81640625" style="59" bestFit="1" customWidth="1"/>
    <col min="8201" max="8201" width="73.1796875" style="59" customWidth="1"/>
    <col min="8202" max="8202" width="5.453125" style="59" bestFit="1" customWidth="1"/>
    <col min="8203" max="8448" width="12.453125" style="59"/>
    <col min="8449" max="8450" width="3.81640625" style="59" customWidth="1"/>
    <col min="8451" max="8451" width="37.7265625" style="59" bestFit="1" customWidth="1"/>
    <col min="8452" max="8452" width="6.54296875" style="59" bestFit="1" customWidth="1"/>
    <col min="8453" max="8453" width="5.54296875" style="59" bestFit="1" customWidth="1"/>
    <col min="8454" max="8454" width="5.81640625" style="59" bestFit="1" customWidth="1"/>
    <col min="8455" max="8455" width="12.1796875" style="59" bestFit="1" customWidth="1"/>
    <col min="8456" max="8456" width="9.81640625" style="59" bestFit="1" customWidth="1"/>
    <col min="8457" max="8457" width="73.1796875" style="59" customWidth="1"/>
    <col min="8458" max="8458" width="5.453125" style="59" bestFit="1" customWidth="1"/>
    <col min="8459" max="8704" width="12.453125" style="59"/>
    <col min="8705" max="8706" width="3.81640625" style="59" customWidth="1"/>
    <col min="8707" max="8707" width="37.7265625" style="59" bestFit="1" customWidth="1"/>
    <col min="8708" max="8708" width="6.54296875" style="59" bestFit="1" customWidth="1"/>
    <col min="8709" max="8709" width="5.54296875" style="59" bestFit="1" customWidth="1"/>
    <col min="8710" max="8710" width="5.81640625" style="59" bestFit="1" customWidth="1"/>
    <col min="8711" max="8711" width="12.1796875" style="59" bestFit="1" customWidth="1"/>
    <col min="8712" max="8712" width="9.81640625" style="59" bestFit="1" customWidth="1"/>
    <col min="8713" max="8713" width="73.1796875" style="59" customWidth="1"/>
    <col min="8714" max="8714" width="5.453125" style="59" bestFit="1" customWidth="1"/>
    <col min="8715" max="8960" width="12.453125" style="59"/>
    <col min="8961" max="8962" width="3.81640625" style="59" customWidth="1"/>
    <col min="8963" max="8963" width="37.7265625" style="59" bestFit="1" customWidth="1"/>
    <col min="8964" max="8964" width="6.54296875" style="59" bestFit="1" customWidth="1"/>
    <col min="8965" max="8965" width="5.54296875" style="59" bestFit="1" customWidth="1"/>
    <col min="8966" max="8966" width="5.81640625" style="59" bestFit="1" customWidth="1"/>
    <col min="8967" max="8967" width="12.1796875" style="59" bestFit="1" customWidth="1"/>
    <col min="8968" max="8968" width="9.81640625" style="59" bestFit="1" customWidth="1"/>
    <col min="8969" max="8969" width="73.1796875" style="59" customWidth="1"/>
    <col min="8970" max="8970" width="5.453125" style="59" bestFit="1" customWidth="1"/>
    <col min="8971" max="9216" width="12.453125" style="59"/>
    <col min="9217" max="9218" width="3.81640625" style="59" customWidth="1"/>
    <col min="9219" max="9219" width="37.7265625" style="59" bestFit="1" customWidth="1"/>
    <col min="9220" max="9220" width="6.54296875" style="59" bestFit="1" customWidth="1"/>
    <col min="9221" max="9221" width="5.54296875" style="59" bestFit="1" customWidth="1"/>
    <col min="9222" max="9222" width="5.81640625" style="59" bestFit="1" customWidth="1"/>
    <col min="9223" max="9223" width="12.1796875" style="59" bestFit="1" customWidth="1"/>
    <col min="9224" max="9224" width="9.81640625" style="59" bestFit="1" customWidth="1"/>
    <col min="9225" max="9225" width="73.1796875" style="59" customWidth="1"/>
    <col min="9226" max="9226" width="5.453125" style="59" bestFit="1" customWidth="1"/>
    <col min="9227" max="9472" width="12.453125" style="59"/>
    <col min="9473" max="9474" width="3.81640625" style="59" customWidth="1"/>
    <col min="9475" max="9475" width="37.7265625" style="59" bestFit="1" customWidth="1"/>
    <col min="9476" max="9476" width="6.54296875" style="59" bestFit="1" customWidth="1"/>
    <col min="9477" max="9477" width="5.54296875" style="59" bestFit="1" customWidth="1"/>
    <col min="9478" max="9478" width="5.81640625" style="59" bestFit="1" customWidth="1"/>
    <col min="9479" max="9479" width="12.1796875" style="59" bestFit="1" customWidth="1"/>
    <col min="9480" max="9480" width="9.81640625" style="59" bestFit="1" customWidth="1"/>
    <col min="9481" max="9481" width="73.1796875" style="59" customWidth="1"/>
    <col min="9482" max="9482" width="5.453125" style="59" bestFit="1" customWidth="1"/>
    <col min="9483" max="9728" width="12.453125" style="59"/>
    <col min="9729" max="9730" width="3.81640625" style="59" customWidth="1"/>
    <col min="9731" max="9731" width="37.7265625" style="59" bestFit="1" customWidth="1"/>
    <col min="9732" max="9732" width="6.54296875" style="59" bestFit="1" customWidth="1"/>
    <col min="9733" max="9733" width="5.54296875" style="59" bestFit="1" customWidth="1"/>
    <col min="9734" max="9734" width="5.81640625" style="59" bestFit="1" customWidth="1"/>
    <col min="9735" max="9735" width="12.1796875" style="59" bestFit="1" customWidth="1"/>
    <col min="9736" max="9736" width="9.81640625" style="59" bestFit="1" customWidth="1"/>
    <col min="9737" max="9737" width="73.1796875" style="59" customWidth="1"/>
    <col min="9738" max="9738" width="5.453125" style="59" bestFit="1" customWidth="1"/>
    <col min="9739" max="9984" width="12.453125" style="59"/>
    <col min="9985" max="9986" width="3.81640625" style="59" customWidth="1"/>
    <col min="9987" max="9987" width="37.7265625" style="59" bestFit="1" customWidth="1"/>
    <col min="9988" max="9988" width="6.54296875" style="59" bestFit="1" customWidth="1"/>
    <col min="9989" max="9989" width="5.54296875" style="59" bestFit="1" customWidth="1"/>
    <col min="9990" max="9990" width="5.81640625" style="59" bestFit="1" customWidth="1"/>
    <col min="9991" max="9991" width="12.1796875" style="59" bestFit="1" customWidth="1"/>
    <col min="9992" max="9992" width="9.81640625" style="59" bestFit="1" customWidth="1"/>
    <col min="9993" max="9993" width="73.1796875" style="59" customWidth="1"/>
    <col min="9994" max="9994" width="5.453125" style="59" bestFit="1" customWidth="1"/>
    <col min="9995" max="10240" width="12.453125" style="59"/>
    <col min="10241" max="10242" width="3.81640625" style="59" customWidth="1"/>
    <col min="10243" max="10243" width="37.7265625" style="59" bestFit="1" customWidth="1"/>
    <col min="10244" max="10244" width="6.54296875" style="59" bestFit="1" customWidth="1"/>
    <col min="10245" max="10245" width="5.54296875" style="59" bestFit="1" customWidth="1"/>
    <col min="10246" max="10246" width="5.81640625" style="59" bestFit="1" customWidth="1"/>
    <col min="10247" max="10247" width="12.1796875" style="59" bestFit="1" customWidth="1"/>
    <col min="10248" max="10248" width="9.81640625" style="59" bestFit="1" customWidth="1"/>
    <col min="10249" max="10249" width="73.1796875" style="59" customWidth="1"/>
    <col min="10250" max="10250" width="5.453125" style="59" bestFit="1" customWidth="1"/>
    <col min="10251" max="10496" width="12.453125" style="59"/>
    <col min="10497" max="10498" width="3.81640625" style="59" customWidth="1"/>
    <col min="10499" max="10499" width="37.7265625" style="59" bestFit="1" customWidth="1"/>
    <col min="10500" max="10500" width="6.54296875" style="59" bestFit="1" customWidth="1"/>
    <col min="10501" max="10501" width="5.54296875" style="59" bestFit="1" customWidth="1"/>
    <col min="10502" max="10502" width="5.81640625" style="59" bestFit="1" customWidth="1"/>
    <col min="10503" max="10503" width="12.1796875" style="59" bestFit="1" customWidth="1"/>
    <col min="10504" max="10504" width="9.81640625" style="59" bestFit="1" customWidth="1"/>
    <col min="10505" max="10505" width="73.1796875" style="59" customWidth="1"/>
    <col min="10506" max="10506" width="5.453125" style="59" bestFit="1" customWidth="1"/>
    <col min="10507" max="10752" width="12.453125" style="59"/>
    <col min="10753" max="10754" width="3.81640625" style="59" customWidth="1"/>
    <col min="10755" max="10755" width="37.7265625" style="59" bestFit="1" customWidth="1"/>
    <col min="10756" max="10756" width="6.54296875" style="59" bestFit="1" customWidth="1"/>
    <col min="10757" max="10757" width="5.54296875" style="59" bestFit="1" customWidth="1"/>
    <col min="10758" max="10758" width="5.81640625" style="59" bestFit="1" customWidth="1"/>
    <col min="10759" max="10759" width="12.1796875" style="59" bestFit="1" customWidth="1"/>
    <col min="10760" max="10760" width="9.81640625" style="59" bestFit="1" customWidth="1"/>
    <col min="10761" max="10761" width="73.1796875" style="59" customWidth="1"/>
    <col min="10762" max="10762" width="5.453125" style="59" bestFit="1" customWidth="1"/>
    <col min="10763" max="11008" width="12.453125" style="59"/>
    <col min="11009" max="11010" width="3.81640625" style="59" customWidth="1"/>
    <col min="11011" max="11011" width="37.7265625" style="59" bestFit="1" customWidth="1"/>
    <col min="11012" max="11012" width="6.54296875" style="59" bestFit="1" customWidth="1"/>
    <col min="11013" max="11013" width="5.54296875" style="59" bestFit="1" customWidth="1"/>
    <col min="11014" max="11014" width="5.81640625" style="59" bestFit="1" customWidth="1"/>
    <col min="11015" max="11015" width="12.1796875" style="59" bestFit="1" customWidth="1"/>
    <col min="11016" max="11016" width="9.81640625" style="59" bestFit="1" customWidth="1"/>
    <col min="11017" max="11017" width="73.1796875" style="59" customWidth="1"/>
    <col min="11018" max="11018" width="5.453125" style="59" bestFit="1" customWidth="1"/>
    <col min="11019" max="11264" width="12.453125" style="59"/>
    <col min="11265" max="11266" width="3.81640625" style="59" customWidth="1"/>
    <col min="11267" max="11267" width="37.7265625" style="59" bestFit="1" customWidth="1"/>
    <col min="11268" max="11268" width="6.54296875" style="59" bestFit="1" customWidth="1"/>
    <col min="11269" max="11269" width="5.54296875" style="59" bestFit="1" customWidth="1"/>
    <col min="11270" max="11270" width="5.81640625" style="59" bestFit="1" customWidth="1"/>
    <col min="11271" max="11271" width="12.1796875" style="59" bestFit="1" customWidth="1"/>
    <col min="11272" max="11272" width="9.81640625" style="59" bestFit="1" customWidth="1"/>
    <col min="11273" max="11273" width="73.1796875" style="59" customWidth="1"/>
    <col min="11274" max="11274" width="5.453125" style="59" bestFit="1" customWidth="1"/>
    <col min="11275" max="11520" width="12.453125" style="59"/>
    <col min="11521" max="11522" width="3.81640625" style="59" customWidth="1"/>
    <col min="11523" max="11523" width="37.7265625" style="59" bestFit="1" customWidth="1"/>
    <col min="11524" max="11524" width="6.54296875" style="59" bestFit="1" customWidth="1"/>
    <col min="11525" max="11525" width="5.54296875" style="59" bestFit="1" customWidth="1"/>
    <col min="11526" max="11526" width="5.81640625" style="59" bestFit="1" customWidth="1"/>
    <col min="11527" max="11527" width="12.1796875" style="59" bestFit="1" customWidth="1"/>
    <col min="11528" max="11528" width="9.81640625" style="59" bestFit="1" customWidth="1"/>
    <col min="11529" max="11529" width="73.1796875" style="59" customWidth="1"/>
    <col min="11530" max="11530" width="5.453125" style="59" bestFit="1" customWidth="1"/>
    <col min="11531" max="11776" width="12.453125" style="59"/>
    <col min="11777" max="11778" width="3.81640625" style="59" customWidth="1"/>
    <col min="11779" max="11779" width="37.7265625" style="59" bestFit="1" customWidth="1"/>
    <col min="11780" max="11780" width="6.54296875" style="59" bestFit="1" customWidth="1"/>
    <col min="11781" max="11781" width="5.54296875" style="59" bestFit="1" customWidth="1"/>
    <col min="11782" max="11782" width="5.81640625" style="59" bestFit="1" customWidth="1"/>
    <col min="11783" max="11783" width="12.1796875" style="59" bestFit="1" customWidth="1"/>
    <col min="11784" max="11784" width="9.81640625" style="59" bestFit="1" customWidth="1"/>
    <col min="11785" max="11785" width="73.1796875" style="59" customWidth="1"/>
    <col min="11786" max="11786" width="5.453125" style="59" bestFit="1" customWidth="1"/>
    <col min="11787" max="12032" width="12.453125" style="59"/>
    <col min="12033" max="12034" width="3.81640625" style="59" customWidth="1"/>
    <col min="12035" max="12035" width="37.7265625" style="59" bestFit="1" customWidth="1"/>
    <col min="12036" max="12036" width="6.54296875" style="59" bestFit="1" customWidth="1"/>
    <col min="12037" max="12037" width="5.54296875" style="59" bestFit="1" customWidth="1"/>
    <col min="12038" max="12038" width="5.81640625" style="59" bestFit="1" customWidth="1"/>
    <col min="12039" max="12039" width="12.1796875" style="59" bestFit="1" customWidth="1"/>
    <col min="12040" max="12040" width="9.81640625" style="59" bestFit="1" customWidth="1"/>
    <col min="12041" max="12041" width="73.1796875" style="59" customWidth="1"/>
    <col min="12042" max="12042" width="5.453125" style="59" bestFit="1" customWidth="1"/>
    <col min="12043" max="12288" width="12.453125" style="59"/>
    <col min="12289" max="12290" width="3.81640625" style="59" customWidth="1"/>
    <col min="12291" max="12291" width="37.7265625" style="59" bestFit="1" customWidth="1"/>
    <col min="12292" max="12292" width="6.54296875" style="59" bestFit="1" customWidth="1"/>
    <col min="12293" max="12293" width="5.54296875" style="59" bestFit="1" customWidth="1"/>
    <col min="12294" max="12294" width="5.81640625" style="59" bestFit="1" customWidth="1"/>
    <col min="12295" max="12295" width="12.1796875" style="59" bestFit="1" customWidth="1"/>
    <col min="12296" max="12296" width="9.81640625" style="59" bestFit="1" customWidth="1"/>
    <col min="12297" max="12297" width="73.1796875" style="59" customWidth="1"/>
    <col min="12298" max="12298" width="5.453125" style="59" bestFit="1" customWidth="1"/>
    <col min="12299" max="12544" width="12.453125" style="59"/>
    <col min="12545" max="12546" width="3.81640625" style="59" customWidth="1"/>
    <col min="12547" max="12547" width="37.7265625" style="59" bestFit="1" customWidth="1"/>
    <col min="12548" max="12548" width="6.54296875" style="59" bestFit="1" customWidth="1"/>
    <col min="12549" max="12549" width="5.54296875" style="59" bestFit="1" customWidth="1"/>
    <col min="12550" max="12550" width="5.81640625" style="59" bestFit="1" customWidth="1"/>
    <col min="12551" max="12551" width="12.1796875" style="59" bestFit="1" customWidth="1"/>
    <col min="12552" max="12552" width="9.81640625" style="59" bestFit="1" customWidth="1"/>
    <col min="12553" max="12553" width="73.1796875" style="59" customWidth="1"/>
    <col min="12554" max="12554" width="5.453125" style="59" bestFit="1" customWidth="1"/>
    <col min="12555" max="12800" width="12.453125" style="59"/>
    <col min="12801" max="12802" width="3.81640625" style="59" customWidth="1"/>
    <col min="12803" max="12803" width="37.7265625" style="59" bestFit="1" customWidth="1"/>
    <col min="12804" max="12804" width="6.54296875" style="59" bestFit="1" customWidth="1"/>
    <col min="12805" max="12805" width="5.54296875" style="59" bestFit="1" customWidth="1"/>
    <col min="12806" max="12806" width="5.81640625" style="59" bestFit="1" customWidth="1"/>
    <col min="12807" max="12807" width="12.1796875" style="59" bestFit="1" customWidth="1"/>
    <col min="12808" max="12808" width="9.81640625" style="59" bestFit="1" customWidth="1"/>
    <col min="12809" max="12809" width="73.1796875" style="59" customWidth="1"/>
    <col min="12810" max="12810" width="5.453125" style="59" bestFit="1" customWidth="1"/>
    <col min="12811" max="13056" width="12.453125" style="59"/>
    <col min="13057" max="13058" width="3.81640625" style="59" customWidth="1"/>
    <col min="13059" max="13059" width="37.7265625" style="59" bestFit="1" customWidth="1"/>
    <col min="13060" max="13060" width="6.54296875" style="59" bestFit="1" customWidth="1"/>
    <col min="13061" max="13061" width="5.54296875" style="59" bestFit="1" customWidth="1"/>
    <col min="13062" max="13062" width="5.81640625" style="59" bestFit="1" customWidth="1"/>
    <col min="13063" max="13063" width="12.1796875" style="59" bestFit="1" customWidth="1"/>
    <col min="13064" max="13064" width="9.81640625" style="59" bestFit="1" customWidth="1"/>
    <col min="13065" max="13065" width="73.1796875" style="59" customWidth="1"/>
    <col min="13066" max="13066" width="5.453125" style="59" bestFit="1" customWidth="1"/>
    <col min="13067" max="13312" width="12.453125" style="59"/>
    <col min="13313" max="13314" width="3.81640625" style="59" customWidth="1"/>
    <col min="13315" max="13315" width="37.7265625" style="59" bestFit="1" customWidth="1"/>
    <col min="13316" max="13316" width="6.54296875" style="59" bestFit="1" customWidth="1"/>
    <col min="13317" max="13317" width="5.54296875" style="59" bestFit="1" customWidth="1"/>
    <col min="13318" max="13318" width="5.81640625" style="59" bestFit="1" customWidth="1"/>
    <col min="13319" max="13319" width="12.1796875" style="59" bestFit="1" customWidth="1"/>
    <col min="13320" max="13320" width="9.81640625" style="59" bestFit="1" customWidth="1"/>
    <col min="13321" max="13321" width="73.1796875" style="59" customWidth="1"/>
    <col min="13322" max="13322" width="5.453125" style="59" bestFit="1" customWidth="1"/>
    <col min="13323" max="13568" width="12.453125" style="59"/>
    <col min="13569" max="13570" width="3.81640625" style="59" customWidth="1"/>
    <col min="13571" max="13571" width="37.7265625" style="59" bestFit="1" customWidth="1"/>
    <col min="13572" max="13572" width="6.54296875" style="59" bestFit="1" customWidth="1"/>
    <col min="13573" max="13573" width="5.54296875" style="59" bestFit="1" customWidth="1"/>
    <col min="13574" max="13574" width="5.81640625" style="59" bestFit="1" customWidth="1"/>
    <col min="13575" max="13575" width="12.1796875" style="59" bestFit="1" customWidth="1"/>
    <col min="13576" max="13576" width="9.81640625" style="59" bestFit="1" customWidth="1"/>
    <col min="13577" max="13577" width="73.1796875" style="59" customWidth="1"/>
    <col min="13578" max="13578" width="5.453125" style="59" bestFit="1" customWidth="1"/>
    <col min="13579" max="13824" width="12.453125" style="59"/>
    <col min="13825" max="13826" width="3.81640625" style="59" customWidth="1"/>
    <col min="13827" max="13827" width="37.7265625" style="59" bestFit="1" customWidth="1"/>
    <col min="13828" max="13828" width="6.54296875" style="59" bestFit="1" customWidth="1"/>
    <col min="13829" max="13829" width="5.54296875" style="59" bestFit="1" customWidth="1"/>
    <col min="13830" max="13830" width="5.81640625" style="59" bestFit="1" customWidth="1"/>
    <col min="13831" max="13831" width="12.1796875" style="59" bestFit="1" customWidth="1"/>
    <col min="13832" max="13832" width="9.81640625" style="59" bestFit="1" customWidth="1"/>
    <col min="13833" max="13833" width="73.1796875" style="59" customWidth="1"/>
    <col min="13834" max="13834" width="5.453125" style="59" bestFit="1" customWidth="1"/>
    <col min="13835" max="14080" width="12.453125" style="59"/>
    <col min="14081" max="14082" width="3.81640625" style="59" customWidth="1"/>
    <col min="14083" max="14083" width="37.7265625" style="59" bestFit="1" customWidth="1"/>
    <col min="14084" max="14084" width="6.54296875" style="59" bestFit="1" customWidth="1"/>
    <col min="14085" max="14085" width="5.54296875" style="59" bestFit="1" customWidth="1"/>
    <col min="14086" max="14086" width="5.81640625" style="59" bestFit="1" customWidth="1"/>
    <col min="14087" max="14087" width="12.1796875" style="59" bestFit="1" customWidth="1"/>
    <col min="14088" max="14088" width="9.81640625" style="59" bestFit="1" customWidth="1"/>
    <col min="14089" max="14089" width="73.1796875" style="59" customWidth="1"/>
    <col min="14090" max="14090" width="5.453125" style="59" bestFit="1" customWidth="1"/>
    <col min="14091" max="14336" width="12.453125" style="59"/>
    <col min="14337" max="14338" width="3.81640625" style="59" customWidth="1"/>
    <col min="14339" max="14339" width="37.7265625" style="59" bestFit="1" customWidth="1"/>
    <col min="14340" max="14340" width="6.54296875" style="59" bestFit="1" customWidth="1"/>
    <col min="14341" max="14341" width="5.54296875" style="59" bestFit="1" customWidth="1"/>
    <col min="14342" max="14342" width="5.81640625" style="59" bestFit="1" customWidth="1"/>
    <col min="14343" max="14343" width="12.1796875" style="59" bestFit="1" customWidth="1"/>
    <col min="14344" max="14344" width="9.81640625" style="59" bestFit="1" customWidth="1"/>
    <col min="14345" max="14345" width="73.1796875" style="59" customWidth="1"/>
    <col min="14346" max="14346" width="5.453125" style="59" bestFit="1" customWidth="1"/>
    <col min="14347" max="14592" width="12.453125" style="59"/>
    <col min="14593" max="14594" width="3.81640625" style="59" customWidth="1"/>
    <col min="14595" max="14595" width="37.7265625" style="59" bestFit="1" customWidth="1"/>
    <col min="14596" max="14596" width="6.54296875" style="59" bestFit="1" customWidth="1"/>
    <col min="14597" max="14597" width="5.54296875" style="59" bestFit="1" customWidth="1"/>
    <col min="14598" max="14598" width="5.81640625" style="59" bestFit="1" customWidth="1"/>
    <col min="14599" max="14599" width="12.1796875" style="59" bestFit="1" customWidth="1"/>
    <col min="14600" max="14600" width="9.81640625" style="59" bestFit="1" customWidth="1"/>
    <col min="14601" max="14601" width="73.1796875" style="59" customWidth="1"/>
    <col min="14602" max="14602" width="5.453125" style="59" bestFit="1" customWidth="1"/>
    <col min="14603" max="14848" width="12.453125" style="59"/>
    <col min="14849" max="14850" width="3.81640625" style="59" customWidth="1"/>
    <col min="14851" max="14851" width="37.7265625" style="59" bestFit="1" customWidth="1"/>
    <col min="14852" max="14852" width="6.54296875" style="59" bestFit="1" customWidth="1"/>
    <col min="14853" max="14853" width="5.54296875" style="59" bestFit="1" customWidth="1"/>
    <col min="14854" max="14854" width="5.81640625" style="59" bestFit="1" customWidth="1"/>
    <col min="14855" max="14855" width="12.1796875" style="59" bestFit="1" customWidth="1"/>
    <col min="14856" max="14856" width="9.81640625" style="59" bestFit="1" customWidth="1"/>
    <col min="14857" max="14857" width="73.1796875" style="59" customWidth="1"/>
    <col min="14858" max="14858" width="5.453125" style="59" bestFit="1" customWidth="1"/>
    <col min="14859" max="15104" width="12.453125" style="59"/>
    <col min="15105" max="15106" width="3.81640625" style="59" customWidth="1"/>
    <col min="15107" max="15107" width="37.7265625" style="59" bestFit="1" customWidth="1"/>
    <col min="15108" max="15108" width="6.54296875" style="59" bestFit="1" customWidth="1"/>
    <col min="15109" max="15109" width="5.54296875" style="59" bestFit="1" customWidth="1"/>
    <col min="15110" max="15110" width="5.81640625" style="59" bestFit="1" customWidth="1"/>
    <col min="15111" max="15111" width="12.1796875" style="59" bestFit="1" customWidth="1"/>
    <col min="15112" max="15112" width="9.81640625" style="59" bestFit="1" customWidth="1"/>
    <col min="15113" max="15113" width="73.1796875" style="59" customWidth="1"/>
    <col min="15114" max="15114" width="5.453125" style="59" bestFit="1" customWidth="1"/>
    <col min="15115" max="15360" width="12.453125" style="59"/>
    <col min="15361" max="15362" width="3.81640625" style="59" customWidth="1"/>
    <col min="15363" max="15363" width="37.7265625" style="59" bestFit="1" customWidth="1"/>
    <col min="15364" max="15364" width="6.54296875" style="59" bestFit="1" customWidth="1"/>
    <col min="15365" max="15365" width="5.54296875" style="59" bestFit="1" customWidth="1"/>
    <col min="15366" max="15366" width="5.81640625" style="59" bestFit="1" customWidth="1"/>
    <col min="15367" max="15367" width="12.1796875" style="59" bestFit="1" customWidth="1"/>
    <col min="15368" max="15368" width="9.81640625" style="59" bestFit="1" customWidth="1"/>
    <col min="15369" max="15369" width="73.1796875" style="59" customWidth="1"/>
    <col min="15370" max="15370" width="5.453125" style="59" bestFit="1" customWidth="1"/>
    <col min="15371" max="15616" width="12.453125" style="59"/>
    <col min="15617" max="15618" width="3.81640625" style="59" customWidth="1"/>
    <col min="15619" max="15619" width="37.7265625" style="59" bestFit="1" customWidth="1"/>
    <col min="15620" max="15620" width="6.54296875" style="59" bestFit="1" customWidth="1"/>
    <col min="15621" max="15621" width="5.54296875" style="59" bestFit="1" customWidth="1"/>
    <col min="15622" max="15622" width="5.81640625" style="59" bestFit="1" customWidth="1"/>
    <col min="15623" max="15623" width="12.1796875" style="59" bestFit="1" customWidth="1"/>
    <col min="15624" max="15624" width="9.81640625" style="59" bestFit="1" customWidth="1"/>
    <col min="15625" max="15625" width="73.1796875" style="59" customWidth="1"/>
    <col min="15626" max="15626" width="5.453125" style="59" bestFit="1" customWidth="1"/>
    <col min="15627" max="15872" width="12.453125" style="59"/>
    <col min="15873" max="15874" width="3.81640625" style="59" customWidth="1"/>
    <col min="15875" max="15875" width="37.7265625" style="59" bestFit="1" customWidth="1"/>
    <col min="15876" max="15876" width="6.54296875" style="59" bestFit="1" customWidth="1"/>
    <col min="15877" max="15877" width="5.54296875" style="59" bestFit="1" customWidth="1"/>
    <col min="15878" max="15878" width="5.81640625" style="59" bestFit="1" customWidth="1"/>
    <col min="15879" max="15879" width="12.1796875" style="59" bestFit="1" customWidth="1"/>
    <col min="15880" max="15880" width="9.81640625" style="59" bestFit="1" customWidth="1"/>
    <col min="15881" max="15881" width="73.1796875" style="59" customWidth="1"/>
    <col min="15882" max="15882" width="5.453125" style="59" bestFit="1" customWidth="1"/>
    <col min="15883" max="16128" width="12.453125" style="59"/>
    <col min="16129" max="16130" width="3.81640625" style="59" customWidth="1"/>
    <col min="16131" max="16131" width="37.7265625" style="59" bestFit="1" customWidth="1"/>
    <col min="16132" max="16132" width="6.54296875" style="59" bestFit="1" customWidth="1"/>
    <col min="16133" max="16133" width="5.54296875" style="59" bestFit="1" customWidth="1"/>
    <col min="16134" max="16134" width="5.81640625" style="59" bestFit="1" customWidth="1"/>
    <col min="16135" max="16135" width="12.1796875" style="59" bestFit="1" customWidth="1"/>
    <col min="16136" max="16136" width="9.81640625" style="59" bestFit="1" customWidth="1"/>
    <col min="16137" max="16137" width="73.1796875" style="59" customWidth="1"/>
    <col min="16138" max="16138" width="5.453125" style="59" bestFit="1" customWidth="1"/>
    <col min="16139" max="16384" width="12.453125" style="59"/>
  </cols>
  <sheetData>
    <row r="1" spans="2:10">
      <c r="B1" s="57" t="s">
        <v>0</v>
      </c>
      <c r="C1" s="58"/>
      <c r="F1" s="60"/>
    </row>
    <row r="2" spans="2:10">
      <c r="B2" s="60" t="s">
        <v>1</v>
      </c>
    </row>
    <row r="3" spans="2:10">
      <c r="B3" s="60" t="s">
        <v>2</v>
      </c>
    </row>
    <row r="4" spans="2:10" ht="55.5" customHeight="1">
      <c r="B4" s="60"/>
      <c r="I4" s="62" t="s">
        <v>3</v>
      </c>
    </row>
    <row r="5" spans="2:10" ht="11.25" customHeight="1" thickBot="1"/>
    <row r="6" spans="2:10" ht="12.75" customHeight="1">
      <c r="B6" s="63"/>
      <c r="C6" s="64"/>
      <c r="D6" s="65" t="s">
        <v>4</v>
      </c>
      <c r="E6" s="65"/>
      <c r="F6" s="65"/>
      <c r="G6" s="66"/>
      <c r="H6" s="66"/>
      <c r="I6" s="66"/>
      <c r="J6" s="67"/>
    </row>
    <row r="7" spans="2:10" ht="14.5" thickBot="1">
      <c r="B7" s="68"/>
      <c r="C7" s="69"/>
      <c r="D7" s="70" t="s">
        <v>5</v>
      </c>
      <c r="E7" s="70" t="s">
        <v>6</v>
      </c>
      <c r="F7" s="70" t="s">
        <v>7</v>
      </c>
      <c r="G7" s="70" t="s">
        <v>8</v>
      </c>
      <c r="H7" s="70" t="s">
        <v>9</v>
      </c>
      <c r="I7" s="71" t="s">
        <v>10</v>
      </c>
      <c r="J7" s="72" t="s">
        <v>11</v>
      </c>
    </row>
    <row r="8" spans="2:10" ht="35">
      <c r="B8" s="73">
        <v>1</v>
      </c>
      <c r="C8" s="74" t="s">
        <v>12</v>
      </c>
      <c r="D8" s="75">
        <v>1</v>
      </c>
      <c r="E8" s="75">
        <f>+D8+F8-1</f>
        <v>4</v>
      </c>
      <c r="F8" s="75">
        <v>4</v>
      </c>
      <c r="G8" s="76" t="s">
        <v>13</v>
      </c>
      <c r="H8" s="75" t="s">
        <v>14</v>
      </c>
      <c r="I8" s="77" t="s">
        <v>15</v>
      </c>
      <c r="J8" s="78" t="s">
        <v>16</v>
      </c>
    </row>
    <row r="9" spans="2:10">
      <c r="B9" s="79">
        <v>2</v>
      </c>
      <c r="C9" s="80" t="s">
        <v>17</v>
      </c>
      <c r="D9" s="81">
        <f>+E8+1</f>
        <v>5</v>
      </c>
      <c r="E9" s="81">
        <f>+D9+F9-1</f>
        <v>8</v>
      </c>
      <c r="F9" s="81">
        <v>4</v>
      </c>
      <c r="G9" s="82" t="s">
        <v>13</v>
      </c>
      <c r="H9" s="81" t="s">
        <v>14</v>
      </c>
      <c r="I9" s="83" t="s">
        <v>18</v>
      </c>
      <c r="J9" s="84" t="s">
        <v>16</v>
      </c>
    </row>
    <row r="10" spans="2:10">
      <c r="B10" s="79">
        <v>3</v>
      </c>
      <c r="C10" s="80" t="s">
        <v>19</v>
      </c>
      <c r="D10" s="81">
        <f t="shared" ref="D10:D71" si="0">+E9+1</f>
        <v>9</v>
      </c>
      <c r="E10" s="81">
        <f t="shared" ref="E10:E35" si="1">+D10+F10-1</f>
        <v>15</v>
      </c>
      <c r="F10" s="81">
        <v>7</v>
      </c>
      <c r="G10" s="82" t="s">
        <v>13</v>
      </c>
      <c r="H10" s="81" t="s">
        <v>14</v>
      </c>
      <c r="I10" s="83" t="s">
        <v>20</v>
      </c>
      <c r="J10" s="84" t="s">
        <v>16</v>
      </c>
    </row>
    <row r="11" spans="2:10">
      <c r="B11" s="79">
        <v>4</v>
      </c>
      <c r="C11" s="80" t="s">
        <v>21</v>
      </c>
      <c r="D11" s="81">
        <f t="shared" si="0"/>
        <v>16</v>
      </c>
      <c r="E11" s="81">
        <f t="shared" si="1"/>
        <v>22</v>
      </c>
      <c r="F11" s="81">
        <v>7</v>
      </c>
      <c r="G11" s="82" t="s">
        <v>13</v>
      </c>
      <c r="H11" s="81" t="s">
        <v>14</v>
      </c>
      <c r="I11" s="83" t="s">
        <v>22</v>
      </c>
      <c r="J11" s="84" t="s">
        <v>16</v>
      </c>
    </row>
    <row r="12" spans="2:10" ht="14.5">
      <c r="B12" s="85">
        <v>5</v>
      </c>
      <c r="C12" s="86" t="s">
        <v>23</v>
      </c>
      <c r="D12" s="87">
        <f t="shared" si="0"/>
        <v>23</v>
      </c>
      <c r="E12" s="87">
        <f t="shared" si="1"/>
        <v>25</v>
      </c>
      <c r="F12" s="87">
        <v>3</v>
      </c>
      <c r="G12" s="88" t="s">
        <v>13</v>
      </c>
      <c r="H12" s="87" t="s">
        <v>14</v>
      </c>
      <c r="I12" s="89" t="s">
        <v>24</v>
      </c>
      <c r="J12" s="84" t="s">
        <v>25</v>
      </c>
    </row>
    <row r="13" spans="2:10" ht="23.5">
      <c r="B13" s="79">
        <v>6</v>
      </c>
      <c r="C13" s="80" t="s">
        <v>26</v>
      </c>
      <c r="D13" s="81">
        <f t="shared" si="0"/>
        <v>26</v>
      </c>
      <c r="E13" s="81">
        <f t="shared" si="1"/>
        <v>33</v>
      </c>
      <c r="F13" s="81">
        <v>8</v>
      </c>
      <c r="G13" s="82" t="s">
        <v>27</v>
      </c>
      <c r="H13" s="81" t="s">
        <v>14</v>
      </c>
      <c r="I13" s="90" t="s">
        <v>28</v>
      </c>
      <c r="J13" s="84" t="s">
        <v>16</v>
      </c>
    </row>
    <row r="14" spans="2:10" ht="38.25" customHeight="1">
      <c r="B14" s="91">
        <v>7</v>
      </c>
      <c r="C14" s="80" t="s">
        <v>29</v>
      </c>
      <c r="D14" s="81">
        <f t="shared" si="0"/>
        <v>34</v>
      </c>
      <c r="E14" s="81">
        <f t="shared" si="1"/>
        <v>41</v>
      </c>
      <c r="F14" s="81">
        <v>8</v>
      </c>
      <c r="G14" s="82" t="s">
        <v>27</v>
      </c>
      <c r="H14" s="81" t="s">
        <v>14</v>
      </c>
      <c r="I14" s="92" t="s">
        <v>30</v>
      </c>
      <c r="J14" s="93" t="s">
        <v>16</v>
      </c>
    </row>
    <row r="15" spans="2:10">
      <c r="B15" s="79">
        <v>8</v>
      </c>
      <c r="C15" s="94" t="s">
        <v>31</v>
      </c>
      <c r="D15" s="95">
        <f t="shared" si="0"/>
        <v>42</v>
      </c>
      <c r="E15" s="95">
        <f t="shared" si="1"/>
        <v>42</v>
      </c>
      <c r="F15" s="95">
        <v>1</v>
      </c>
      <c r="G15" s="96" t="s">
        <v>13</v>
      </c>
      <c r="H15" s="95" t="s">
        <v>14</v>
      </c>
      <c r="I15" s="97" t="s">
        <v>32</v>
      </c>
      <c r="J15" s="84" t="s">
        <v>16</v>
      </c>
    </row>
    <row r="16" spans="2:10">
      <c r="B16" s="79">
        <v>9</v>
      </c>
      <c r="C16" s="94" t="s">
        <v>33</v>
      </c>
      <c r="D16" s="95">
        <f t="shared" si="0"/>
        <v>43</v>
      </c>
      <c r="E16" s="95">
        <f t="shared" si="1"/>
        <v>43</v>
      </c>
      <c r="F16" s="95">
        <v>1</v>
      </c>
      <c r="G16" s="96" t="s">
        <v>13</v>
      </c>
      <c r="H16" s="95" t="s">
        <v>14</v>
      </c>
      <c r="I16" s="97" t="s">
        <v>34</v>
      </c>
      <c r="J16" s="84" t="s">
        <v>16</v>
      </c>
    </row>
    <row r="17" spans="2:10">
      <c r="B17" s="79">
        <v>10</v>
      </c>
      <c r="C17" s="80" t="s">
        <v>35</v>
      </c>
      <c r="D17" s="81">
        <f t="shared" si="0"/>
        <v>44</v>
      </c>
      <c r="E17" s="81">
        <f t="shared" si="1"/>
        <v>50</v>
      </c>
      <c r="F17" s="81">
        <v>7</v>
      </c>
      <c r="G17" s="82" t="s">
        <v>13</v>
      </c>
      <c r="H17" s="81" t="s">
        <v>14</v>
      </c>
      <c r="I17" s="83" t="s">
        <v>36</v>
      </c>
      <c r="J17" s="84" t="s">
        <v>16</v>
      </c>
    </row>
    <row r="18" spans="2:10">
      <c r="B18" s="79">
        <v>11</v>
      </c>
      <c r="C18" s="80" t="s">
        <v>37</v>
      </c>
      <c r="D18" s="81">
        <f t="shared" si="0"/>
        <v>51</v>
      </c>
      <c r="E18" s="81">
        <f t="shared" si="1"/>
        <v>64</v>
      </c>
      <c r="F18" s="81">
        <v>14</v>
      </c>
      <c r="G18" s="82" t="s">
        <v>38</v>
      </c>
      <c r="H18" s="81" t="s">
        <v>39</v>
      </c>
      <c r="I18" s="83" t="s">
        <v>40</v>
      </c>
      <c r="J18" s="84" t="s">
        <v>16</v>
      </c>
    </row>
    <row r="19" spans="2:10">
      <c r="B19" s="79">
        <v>12</v>
      </c>
      <c r="C19" s="80" t="s">
        <v>41</v>
      </c>
      <c r="D19" s="81">
        <f t="shared" si="0"/>
        <v>65</v>
      </c>
      <c r="E19" s="81">
        <f t="shared" si="1"/>
        <v>80</v>
      </c>
      <c r="F19" s="81">
        <v>16</v>
      </c>
      <c r="G19" s="82" t="s">
        <v>42</v>
      </c>
      <c r="H19" s="81" t="s">
        <v>39</v>
      </c>
      <c r="I19" s="83" t="s">
        <v>43</v>
      </c>
      <c r="J19" s="84" t="s">
        <v>16</v>
      </c>
    </row>
    <row r="20" spans="2:10">
      <c r="B20" s="79">
        <v>13</v>
      </c>
      <c r="C20" s="80" t="s">
        <v>44</v>
      </c>
      <c r="D20" s="81">
        <f t="shared" si="0"/>
        <v>81</v>
      </c>
      <c r="E20" s="81">
        <f t="shared" si="1"/>
        <v>94</v>
      </c>
      <c r="F20" s="81">
        <v>14</v>
      </c>
      <c r="G20" s="82" t="s">
        <v>45</v>
      </c>
      <c r="H20" s="81" t="s">
        <v>14</v>
      </c>
      <c r="I20" s="83" t="s">
        <v>46</v>
      </c>
      <c r="J20" s="84" t="s">
        <v>16</v>
      </c>
    </row>
    <row r="21" spans="2:10">
      <c r="B21" s="79">
        <v>14</v>
      </c>
      <c r="C21" s="80" t="s">
        <v>47</v>
      </c>
      <c r="D21" s="81">
        <f t="shared" si="0"/>
        <v>95</v>
      </c>
      <c r="E21" s="81">
        <f t="shared" si="1"/>
        <v>108</v>
      </c>
      <c r="F21" s="81">
        <v>14</v>
      </c>
      <c r="G21" s="82" t="s">
        <v>45</v>
      </c>
      <c r="H21" s="81" t="s">
        <v>14</v>
      </c>
      <c r="I21" s="83" t="s">
        <v>48</v>
      </c>
      <c r="J21" s="84" t="s">
        <v>16</v>
      </c>
    </row>
    <row r="22" spans="2:10">
      <c r="B22" s="79">
        <v>15</v>
      </c>
      <c r="C22" s="94" t="s">
        <v>49</v>
      </c>
      <c r="D22" s="95">
        <f t="shared" si="0"/>
        <v>109</v>
      </c>
      <c r="E22" s="95">
        <f t="shared" si="1"/>
        <v>116</v>
      </c>
      <c r="F22" s="95">
        <v>8</v>
      </c>
      <c r="G22" s="96" t="s">
        <v>27</v>
      </c>
      <c r="H22" s="95" t="s">
        <v>14</v>
      </c>
      <c r="I22" s="98" t="s">
        <v>50</v>
      </c>
      <c r="J22" s="84" t="s">
        <v>16</v>
      </c>
    </row>
    <row r="23" spans="2:10">
      <c r="B23" s="79">
        <v>16</v>
      </c>
      <c r="C23" s="94" t="s">
        <v>51</v>
      </c>
      <c r="D23" s="95">
        <f t="shared" si="0"/>
        <v>117</v>
      </c>
      <c r="E23" s="95">
        <f t="shared" si="1"/>
        <v>133</v>
      </c>
      <c r="F23" s="95">
        <v>17</v>
      </c>
      <c r="G23" s="96" t="s">
        <v>52</v>
      </c>
      <c r="H23" s="95" t="s">
        <v>14</v>
      </c>
      <c r="I23" s="98" t="s">
        <v>53</v>
      </c>
      <c r="J23" s="84" t="s">
        <v>16</v>
      </c>
    </row>
    <row r="24" spans="2:10">
      <c r="B24" s="79">
        <v>17</v>
      </c>
      <c r="C24" s="80" t="s">
        <v>54</v>
      </c>
      <c r="D24" s="81">
        <f t="shared" si="0"/>
        <v>134</v>
      </c>
      <c r="E24" s="81">
        <f t="shared" si="1"/>
        <v>139</v>
      </c>
      <c r="F24" s="81">
        <v>6</v>
      </c>
      <c r="G24" s="82" t="s">
        <v>13</v>
      </c>
      <c r="H24" s="81" t="s">
        <v>39</v>
      </c>
      <c r="I24" s="83" t="s">
        <v>55</v>
      </c>
      <c r="J24" s="84" t="s">
        <v>16</v>
      </c>
    </row>
    <row r="25" spans="2:10">
      <c r="B25" s="79">
        <v>18</v>
      </c>
      <c r="C25" s="80" t="s">
        <v>56</v>
      </c>
      <c r="D25" s="81">
        <f t="shared" si="0"/>
        <v>140</v>
      </c>
      <c r="E25" s="81">
        <f t="shared" si="1"/>
        <v>157</v>
      </c>
      <c r="F25" s="81">
        <v>18</v>
      </c>
      <c r="G25" s="82" t="s">
        <v>13</v>
      </c>
      <c r="H25" s="81" t="s">
        <v>57</v>
      </c>
      <c r="I25" s="83" t="s">
        <v>58</v>
      </c>
      <c r="J25" s="84" t="s">
        <v>16</v>
      </c>
    </row>
    <row r="26" spans="2:10">
      <c r="B26" s="79">
        <v>19</v>
      </c>
      <c r="C26" s="80" t="s">
        <v>59</v>
      </c>
      <c r="D26" s="81">
        <f t="shared" si="0"/>
        <v>158</v>
      </c>
      <c r="E26" s="81">
        <f t="shared" si="1"/>
        <v>166</v>
      </c>
      <c r="F26" s="81">
        <v>9</v>
      </c>
      <c r="G26" s="82" t="s">
        <v>60</v>
      </c>
      <c r="H26" s="81" t="s">
        <v>57</v>
      </c>
      <c r="I26" s="83" t="s">
        <v>61</v>
      </c>
      <c r="J26" s="84" t="s">
        <v>16</v>
      </c>
    </row>
    <row r="27" spans="2:10">
      <c r="B27" s="79">
        <v>20</v>
      </c>
      <c r="C27" s="80" t="s">
        <v>62</v>
      </c>
      <c r="D27" s="81">
        <f t="shared" si="0"/>
        <v>167</v>
      </c>
      <c r="E27" s="81">
        <f t="shared" si="1"/>
        <v>167</v>
      </c>
      <c r="F27" s="81">
        <v>1</v>
      </c>
      <c r="G27" s="82" t="s">
        <v>13</v>
      </c>
      <c r="H27" s="81" t="s">
        <v>14</v>
      </c>
      <c r="I27" s="83" t="s">
        <v>63</v>
      </c>
      <c r="J27" s="84" t="s">
        <v>16</v>
      </c>
    </row>
    <row r="28" spans="2:10">
      <c r="B28" s="79">
        <v>21</v>
      </c>
      <c r="C28" s="80" t="s">
        <v>64</v>
      </c>
      <c r="D28" s="81">
        <f t="shared" si="0"/>
        <v>168</v>
      </c>
      <c r="E28" s="81">
        <f t="shared" si="1"/>
        <v>172</v>
      </c>
      <c r="F28" s="81">
        <v>5</v>
      </c>
      <c r="G28" s="82" t="s">
        <v>13</v>
      </c>
      <c r="H28" s="81" t="s">
        <v>14</v>
      </c>
      <c r="I28" s="83"/>
      <c r="J28" s="84" t="s">
        <v>16</v>
      </c>
    </row>
    <row r="29" spans="2:10" ht="14.5">
      <c r="B29" s="99">
        <v>22</v>
      </c>
      <c r="C29" s="100" t="s">
        <v>65</v>
      </c>
      <c r="D29" s="101">
        <f t="shared" si="0"/>
        <v>173</v>
      </c>
      <c r="E29" s="101">
        <f t="shared" si="1"/>
        <v>180</v>
      </c>
      <c r="F29" s="101">
        <v>8</v>
      </c>
      <c r="G29" s="102" t="s">
        <v>13</v>
      </c>
      <c r="H29" s="101" t="s">
        <v>14</v>
      </c>
      <c r="I29" s="103"/>
      <c r="J29" s="84" t="s">
        <v>25</v>
      </c>
    </row>
    <row r="30" spans="2:10" ht="14.5">
      <c r="B30" s="99">
        <v>23</v>
      </c>
      <c r="C30" s="100" t="s">
        <v>66</v>
      </c>
      <c r="D30" s="101">
        <f t="shared" si="0"/>
        <v>181</v>
      </c>
      <c r="E30" s="101">
        <f t="shared" si="1"/>
        <v>198</v>
      </c>
      <c r="F30" s="101">
        <v>18</v>
      </c>
      <c r="G30" s="102" t="s">
        <v>67</v>
      </c>
      <c r="H30" s="101" t="s">
        <v>39</v>
      </c>
      <c r="I30" s="103" t="s">
        <v>68</v>
      </c>
      <c r="J30" s="84" t="s">
        <v>25</v>
      </c>
    </row>
    <row r="31" spans="2:10" ht="14.5">
      <c r="B31" s="99">
        <v>24</v>
      </c>
      <c r="C31" s="100" t="s">
        <v>69</v>
      </c>
      <c r="D31" s="101">
        <f t="shared" si="0"/>
        <v>199</v>
      </c>
      <c r="E31" s="101">
        <f t="shared" si="1"/>
        <v>216</v>
      </c>
      <c r="F31" s="101">
        <v>18</v>
      </c>
      <c r="G31" s="102" t="s">
        <v>67</v>
      </c>
      <c r="H31" s="101" t="s">
        <v>39</v>
      </c>
      <c r="I31" s="103" t="s">
        <v>68</v>
      </c>
      <c r="J31" s="84" t="s">
        <v>25</v>
      </c>
    </row>
    <row r="32" spans="2:10">
      <c r="B32" s="79">
        <v>25</v>
      </c>
      <c r="C32" s="80" t="s">
        <v>70</v>
      </c>
      <c r="D32" s="81">
        <f t="shared" si="0"/>
        <v>217</v>
      </c>
      <c r="E32" s="81">
        <f t="shared" si="1"/>
        <v>234</v>
      </c>
      <c r="F32" s="81">
        <v>18</v>
      </c>
      <c r="G32" s="82" t="s">
        <v>67</v>
      </c>
      <c r="H32" s="81" t="s">
        <v>39</v>
      </c>
      <c r="I32" s="83" t="s">
        <v>68</v>
      </c>
      <c r="J32" s="84" t="s">
        <v>16</v>
      </c>
    </row>
    <row r="33" spans="2:10">
      <c r="B33" s="79">
        <v>26</v>
      </c>
      <c r="C33" s="80" t="s">
        <v>71</v>
      </c>
      <c r="D33" s="81">
        <f t="shared" si="0"/>
        <v>235</v>
      </c>
      <c r="E33" s="81">
        <f t="shared" si="1"/>
        <v>252</v>
      </c>
      <c r="F33" s="81">
        <v>18</v>
      </c>
      <c r="G33" s="82" t="s">
        <v>67</v>
      </c>
      <c r="H33" s="81" t="s">
        <v>39</v>
      </c>
      <c r="I33" s="83" t="s">
        <v>68</v>
      </c>
      <c r="J33" s="84" t="s">
        <v>16</v>
      </c>
    </row>
    <row r="34" spans="2:10">
      <c r="B34" s="79">
        <v>27</v>
      </c>
      <c r="C34" s="80" t="s">
        <v>72</v>
      </c>
      <c r="D34" s="81">
        <f t="shared" si="0"/>
        <v>253</v>
      </c>
      <c r="E34" s="81">
        <f t="shared" si="1"/>
        <v>402</v>
      </c>
      <c r="F34" s="81">
        <v>150</v>
      </c>
      <c r="G34" s="82" t="s">
        <v>13</v>
      </c>
      <c r="H34" s="81" t="s">
        <v>39</v>
      </c>
      <c r="I34" s="83" t="s">
        <v>73</v>
      </c>
      <c r="J34" s="84" t="s">
        <v>16</v>
      </c>
    </row>
    <row r="35" spans="2:10">
      <c r="B35" s="79">
        <v>28</v>
      </c>
      <c r="C35" s="80" t="s">
        <v>74</v>
      </c>
      <c r="D35" s="81">
        <f t="shared" si="0"/>
        <v>403</v>
      </c>
      <c r="E35" s="81">
        <f t="shared" si="1"/>
        <v>409</v>
      </c>
      <c r="F35" s="81">
        <v>7</v>
      </c>
      <c r="G35" s="82" t="s">
        <v>13</v>
      </c>
      <c r="H35" s="81" t="s">
        <v>14</v>
      </c>
      <c r="I35" s="83" t="s">
        <v>75</v>
      </c>
      <c r="J35" s="84" t="s">
        <v>16</v>
      </c>
    </row>
    <row r="36" spans="2:10">
      <c r="B36" s="79">
        <v>29</v>
      </c>
      <c r="C36" s="80" t="s">
        <v>76</v>
      </c>
      <c r="D36" s="81">
        <f t="shared" si="0"/>
        <v>410</v>
      </c>
      <c r="E36" s="81">
        <f>+D36+F36-1</f>
        <v>418</v>
      </c>
      <c r="F36" s="81">
        <v>9</v>
      </c>
      <c r="G36" s="82" t="s">
        <v>60</v>
      </c>
      <c r="H36" s="81" t="s">
        <v>14</v>
      </c>
      <c r="I36" s="83" t="s">
        <v>77</v>
      </c>
      <c r="J36" s="84" t="s">
        <v>16</v>
      </c>
    </row>
    <row r="37" spans="2:10" ht="23.5">
      <c r="B37" s="91">
        <v>30</v>
      </c>
      <c r="C37" s="80" t="s">
        <v>78</v>
      </c>
      <c r="D37" s="81">
        <f t="shared" si="0"/>
        <v>419</v>
      </c>
      <c r="E37" s="81">
        <f>+D37+F37-1</f>
        <v>436</v>
      </c>
      <c r="F37" s="81">
        <v>18</v>
      </c>
      <c r="G37" s="82" t="s">
        <v>67</v>
      </c>
      <c r="H37" s="81" t="s">
        <v>79</v>
      </c>
      <c r="I37" s="90" t="s">
        <v>80</v>
      </c>
      <c r="J37" s="84" t="s">
        <v>16</v>
      </c>
    </row>
    <row r="38" spans="2:10">
      <c r="B38" s="79">
        <v>31</v>
      </c>
      <c r="C38" s="80" t="s">
        <v>81</v>
      </c>
      <c r="D38" s="81">
        <f t="shared" si="0"/>
        <v>437</v>
      </c>
      <c r="E38" s="81">
        <f>+D38+F38-1</f>
        <v>454</v>
      </c>
      <c r="F38" s="81">
        <v>18</v>
      </c>
      <c r="G38" s="82" t="s">
        <v>67</v>
      </c>
      <c r="H38" s="81" t="s">
        <v>82</v>
      </c>
      <c r="I38" s="83" t="s">
        <v>83</v>
      </c>
      <c r="J38" s="84" t="s">
        <v>16</v>
      </c>
    </row>
    <row r="39" spans="2:10">
      <c r="B39" s="79">
        <v>32</v>
      </c>
      <c r="C39" s="80" t="s">
        <v>84</v>
      </c>
      <c r="D39" s="81">
        <f t="shared" si="0"/>
        <v>455</v>
      </c>
      <c r="E39" s="81">
        <f>+D39+F39-1</f>
        <v>455</v>
      </c>
      <c r="F39" s="81">
        <v>1</v>
      </c>
      <c r="G39" s="82" t="s">
        <v>85</v>
      </c>
      <c r="H39" s="81" t="s">
        <v>14</v>
      </c>
      <c r="I39" s="83" t="s">
        <v>86</v>
      </c>
      <c r="J39" s="84" t="s">
        <v>16</v>
      </c>
    </row>
    <row r="40" spans="2:10">
      <c r="B40" s="79">
        <v>33</v>
      </c>
      <c r="C40" s="80" t="s">
        <v>87</v>
      </c>
      <c r="D40" s="81">
        <f t="shared" si="0"/>
        <v>456</v>
      </c>
      <c r="E40" s="81">
        <f>+D40+F40-1</f>
        <v>463</v>
      </c>
      <c r="F40" s="81">
        <v>8</v>
      </c>
      <c r="G40" s="82" t="s">
        <v>13</v>
      </c>
      <c r="H40" s="81" t="s">
        <v>14</v>
      </c>
      <c r="I40" s="83" t="s">
        <v>88</v>
      </c>
      <c r="J40" s="84" t="s">
        <v>16</v>
      </c>
    </row>
    <row r="41" spans="2:10">
      <c r="B41" s="79">
        <v>34</v>
      </c>
      <c r="C41" s="80" t="s">
        <v>89</v>
      </c>
      <c r="D41" s="81">
        <f t="shared" si="0"/>
        <v>464</v>
      </c>
      <c r="E41" s="81">
        <f t="shared" ref="E41:E72" si="2">+D41+F41-1</f>
        <v>478</v>
      </c>
      <c r="F41" s="81">
        <v>15</v>
      </c>
      <c r="G41" s="82" t="s">
        <v>13</v>
      </c>
      <c r="H41" s="81" t="s">
        <v>14</v>
      </c>
      <c r="I41" s="83" t="s">
        <v>88</v>
      </c>
      <c r="J41" s="84" t="s">
        <v>16</v>
      </c>
    </row>
    <row r="42" spans="2:10">
      <c r="B42" s="79">
        <v>35</v>
      </c>
      <c r="C42" s="104" t="s">
        <v>90</v>
      </c>
      <c r="D42" s="105">
        <f t="shared" si="0"/>
        <v>479</v>
      </c>
      <c r="E42" s="105">
        <f t="shared" si="2"/>
        <v>480</v>
      </c>
      <c r="F42" s="105">
        <v>2</v>
      </c>
      <c r="G42" s="106" t="s">
        <v>13</v>
      </c>
      <c r="H42" s="105" t="s">
        <v>14</v>
      </c>
      <c r="I42" s="107" t="s">
        <v>91</v>
      </c>
      <c r="J42" s="84" t="s">
        <v>16</v>
      </c>
    </row>
    <row r="43" spans="2:10">
      <c r="B43" s="79">
        <v>36</v>
      </c>
      <c r="C43" s="104" t="s">
        <v>92</v>
      </c>
      <c r="D43" s="105">
        <f t="shared" si="0"/>
        <v>481</v>
      </c>
      <c r="E43" s="105">
        <f t="shared" si="2"/>
        <v>481</v>
      </c>
      <c r="F43" s="105">
        <v>1</v>
      </c>
      <c r="G43" s="106" t="s">
        <v>13</v>
      </c>
      <c r="H43" s="105" t="s">
        <v>14</v>
      </c>
      <c r="I43" s="108" t="s">
        <v>93</v>
      </c>
      <c r="J43" s="84" t="s">
        <v>16</v>
      </c>
    </row>
    <row r="44" spans="2:10">
      <c r="B44" s="79">
        <v>37</v>
      </c>
      <c r="C44" s="104" t="s">
        <v>94</v>
      </c>
      <c r="D44" s="105">
        <f t="shared" si="0"/>
        <v>482</v>
      </c>
      <c r="E44" s="105">
        <f t="shared" si="2"/>
        <v>482</v>
      </c>
      <c r="F44" s="105">
        <v>1</v>
      </c>
      <c r="G44" s="106" t="s">
        <v>13</v>
      </c>
      <c r="H44" s="105" t="s">
        <v>14</v>
      </c>
      <c r="I44" s="108" t="s">
        <v>95</v>
      </c>
      <c r="J44" s="84" t="s">
        <v>16</v>
      </c>
    </row>
    <row r="45" spans="2:10">
      <c r="B45" s="79">
        <v>38</v>
      </c>
      <c r="C45" s="104" t="s">
        <v>96</v>
      </c>
      <c r="D45" s="105">
        <f t="shared" si="0"/>
        <v>483</v>
      </c>
      <c r="E45" s="105">
        <f t="shared" si="2"/>
        <v>486</v>
      </c>
      <c r="F45" s="105">
        <v>4</v>
      </c>
      <c r="G45" s="106" t="s">
        <v>85</v>
      </c>
      <c r="H45" s="105" t="s">
        <v>14</v>
      </c>
      <c r="I45" s="107" t="s">
        <v>97</v>
      </c>
      <c r="J45" s="84" t="s">
        <v>16</v>
      </c>
    </row>
    <row r="46" spans="2:10">
      <c r="B46" s="79">
        <v>39</v>
      </c>
      <c r="C46" s="104" t="s">
        <v>98</v>
      </c>
      <c r="D46" s="105">
        <f t="shared" si="0"/>
        <v>487</v>
      </c>
      <c r="E46" s="105">
        <f t="shared" si="2"/>
        <v>494</v>
      </c>
      <c r="F46" s="105">
        <v>8</v>
      </c>
      <c r="G46" s="106" t="s">
        <v>99</v>
      </c>
      <c r="H46" s="105" t="s">
        <v>14</v>
      </c>
      <c r="I46" s="107" t="s">
        <v>100</v>
      </c>
      <c r="J46" s="84" t="s">
        <v>16</v>
      </c>
    </row>
    <row r="47" spans="2:10">
      <c r="B47" s="79">
        <v>40</v>
      </c>
      <c r="C47" s="104" t="s">
        <v>101</v>
      </c>
      <c r="D47" s="105">
        <f t="shared" si="0"/>
        <v>495</v>
      </c>
      <c r="E47" s="105">
        <f t="shared" si="2"/>
        <v>502</v>
      </c>
      <c r="F47" s="105">
        <v>8</v>
      </c>
      <c r="G47" s="106" t="s">
        <v>99</v>
      </c>
      <c r="H47" s="105" t="s">
        <v>14</v>
      </c>
      <c r="I47" s="107" t="s">
        <v>102</v>
      </c>
      <c r="J47" s="84" t="s">
        <v>16</v>
      </c>
    </row>
    <row r="48" spans="2:10">
      <c r="B48" s="79">
        <v>41</v>
      </c>
      <c r="C48" s="104" t="s">
        <v>103</v>
      </c>
      <c r="D48" s="105">
        <f t="shared" si="0"/>
        <v>503</v>
      </c>
      <c r="E48" s="105">
        <f t="shared" si="2"/>
        <v>505</v>
      </c>
      <c r="F48" s="105">
        <v>3</v>
      </c>
      <c r="G48" s="106" t="s">
        <v>13</v>
      </c>
      <c r="H48" s="105" t="s">
        <v>14</v>
      </c>
      <c r="I48" s="107" t="s">
        <v>91</v>
      </c>
      <c r="J48" s="84" t="s">
        <v>16</v>
      </c>
    </row>
    <row r="49" spans="2:10">
      <c r="B49" s="79">
        <v>42</v>
      </c>
      <c r="C49" s="104" t="s">
        <v>104</v>
      </c>
      <c r="D49" s="105">
        <f t="shared" si="0"/>
        <v>506</v>
      </c>
      <c r="E49" s="105">
        <f t="shared" si="2"/>
        <v>508</v>
      </c>
      <c r="F49" s="105">
        <v>3</v>
      </c>
      <c r="G49" s="106" t="s">
        <v>13</v>
      </c>
      <c r="H49" s="105" t="s">
        <v>14</v>
      </c>
      <c r="I49" s="107" t="s">
        <v>91</v>
      </c>
      <c r="J49" s="84" t="s">
        <v>16</v>
      </c>
    </row>
    <row r="50" spans="2:10">
      <c r="B50" s="79">
        <v>43</v>
      </c>
      <c r="C50" s="104" t="s">
        <v>105</v>
      </c>
      <c r="D50" s="105">
        <f t="shared" si="0"/>
        <v>509</v>
      </c>
      <c r="E50" s="105">
        <f t="shared" si="2"/>
        <v>511</v>
      </c>
      <c r="F50" s="105">
        <v>3</v>
      </c>
      <c r="G50" s="106" t="s">
        <v>13</v>
      </c>
      <c r="H50" s="105" t="s">
        <v>82</v>
      </c>
      <c r="I50" s="83" t="s">
        <v>106</v>
      </c>
      <c r="J50" s="84" t="s">
        <v>16</v>
      </c>
    </row>
    <row r="51" spans="2:10">
      <c r="B51" s="79">
        <v>44</v>
      </c>
      <c r="C51" s="104" t="s">
        <v>107</v>
      </c>
      <c r="D51" s="105">
        <f t="shared" si="0"/>
        <v>512</v>
      </c>
      <c r="E51" s="105">
        <f t="shared" si="2"/>
        <v>514</v>
      </c>
      <c r="F51" s="105">
        <v>3</v>
      </c>
      <c r="G51" s="106" t="s">
        <v>13</v>
      </c>
      <c r="H51" s="105" t="s">
        <v>82</v>
      </c>
      <c r="I51" s="83" t="s">
        <v>106</v>
      </c>
      <c r="J51" s="84" t="s">
        <v>16</v>
      </c>
    </row>
    <row r="52" spans="2:10">
      <c r="B52" s="79">
        <v>45</v>
      </c>
      <c r="C52" s="104" t="s">
        <v>108</v>
      </c>
      <c r="D52" s="105">
        <f t="shared" si="0"/>
        <v>515</v>
      </c>
      <c r="E52" s="105">
        <f t="shared" si="2"/>
        <v>524</v>
      </c>
      <c r="F52" s="105">
        <v>10</v>
      </c>
      <c r="G52" s="106" t="s">
        <v>85</v>
      </c>
      <c r="H52" s="105" t="s">
        <v>109</v>
      </c>
      <c r="I52" s="107" t="s">
        <v>110</v>
      </c>
      <c r="J52" s="84" t="s">
        <v>16</v>
      </c>
    </row>
    <row r="53" spans="2:10">
      <c r="B53" s="79">
        <v>46</v>
      </c>
      <c r="C53" s="104" t="s">
        <v>111</v>
      </c>
      <c r="D53" s="105">
        <f t="shared" si="0"/>
        <v>525</v>
      </c>
      <c r="E53" s="105">
        <f t="shared" si="2"/>
        <v>538</v>
      </c>
      <c r="F53" s="105">
        <v>14</v>
      </c>
      <c r="G53" s="82" t="s">
        <v>112</v>
      </c>
      <c r="H53" s="105" t="s">
        <v>113</v>
      </c>
      <c r="I53" s="107" t="s">
        <v>114</v>
      </c>
      <c r="J53" s="84" t="s">
        <v>16</v>
      </c>
    </row>
    <row r="54" spans="2:10">
      <c r="B54" s="79">
        <v>47</v>
      </c>
      <c r="C54" s="104" t="s">
        <v>115</v>
      </c>
      <c r="D54" s="105">
        <f t="shared" si="0"/>
        <v>539</v>
      </c>
      <c r="E54" s="105">
        <f t="shared" si="2"/>
        <v>558</v>
      </c>
      <c r="F54" s="105">
        <v>20</v>
      </c>
      <c r="G54" s="106" t="s">
        <v>13</v>
      </c>
      <c r="H54" s="105" t="s">
        <v>109</v>
      </c>
      <c r="I54" s="107" t="s">
        <v>116</v>
      </c>
      <c r="J54" s="84" t="s">
        <v>16</v>
      </c>
    </row>
    <row r="55" spans="2:10">
      <c r="B55" s="79">
        <v>48</v>
      </c>
      <c r="C55" s="104" t="s">
        <v>117</v>
      </c>
      <c r="D55" s="105">
        <f t="shared" si="0"/>
        <v>559</v>
      </c>
      <c r="E55" s="105">
        <f t="shared" si="2"/>
        <v>576</v>
      </c>
      <c r="F55" s="105">
        <v>18</v>
      </c>
      <c r="G55" s="106" t="s">
        <v>67</v>
      </c>
      <c r="H55" s="105" t="s">
        <v>118</v>
      </c>
      <c r="I55" s="107" t="s">
        <v>119</v>
      </c>
      <c r="J55" s="84" t="s">
        <v>16</v>
      </c>
    </row>
    <row r="56" spans="2:10">
      <c r="B56" s="79">
        <v>49</v>
      </c>
      <c r="C56" s="80" t="s">
        <v>120</v>
      </c>
      <c r="D56" s="81">
        <f t="shared" si="0"/>
        <v>577</v>
      </c>
      <c r="E56" s="81">
        <f t="shared" si="2"/>
        <v>584</v>
      </c>
      <c r="F56" s="81">
        <v>8</v>
      </c>
      <c r="G56" s="82" t="s">
        <v>121</v>
      </c>
      <c r="H56" s="81" t="s">
        <v>82</v>
      </c>
      <c r="I56" s="83" t="s">
        <v>122</v>
      </c>
      <c r="J56" s="84" t="s">
        <v>16</v>
      </c>
    </row>
    <row r="57" spans="2:10" ht="23.5">
      <c r="B57" s="91">
        <v>50</v>
      </c>
      <c r="C57" s="80" t="s">
        <v>123</v>
      </c>
      <c r="D57" s="81">
        <f t="shared" si="0"/>
        <v>585</v>
      </c>
      <c r="E57" s="81">
        <f t="shared" si="2"/>
        <v>598</v>
      </c>
      <c r="F57" s="81">
        <v>14</v>
      </c>
      <c r="G57" s="82" t="s">
        <v>13</v>
      </c>
      <c r="H57" s="81" t="s">
        <v>109</v>
      </c>
      <c r="I57" s="90" t="s">
        <v>124</v>
      </c>
      <c r="J57" s="84" t="s">
        <v>16</v>
      </c>
    </row>
    <row r="58" spans="2:10">
      <c r="B58" s="79">
        <v>51</v>
      </c>
      <c r="C58" s="80" t="s">
        <v>125</v>
      </c>
      <c r="D58" s="81">
        <f t="shared" si="0"/>
        <v>599</v>
      </c>
      <c r="E58" s="81">
        <f t="shared" si="2"/>
        <v>601</v>
      </c>
      <c r="F58" s="81">
        <v>3</v>
      </c>
      <c r="G58" s="82" t="s">
        <v>13</v>
      </c>
      <c r="H58" s="81" t="s">
        <v>109</v>
      </c>
      <c r="I58" s="83" t="s">
        <v>91</v>
      </c>
      <c r="J58" s="84" t="s">
        <v>16</v>
      </c>
    </row>
    <row r="59" spans="2:10">
      <c r="B59" s="79">
        <v>52</v>
      </c>
      <c r="C59" s="80" t="s">
        <v>126</v>
      </c>
      <c r="D59" s="81">
        <f t="shared" si="0"/>
        <v>602</v>
      </c>
      <c r="E59" s="81">
        <f t="shared" si="2"/>
        <v>608</v>
      </c>
      <c r="F59" s="81">
        <v>7</v>
      </c>
      <c r="G59" s="82" t="s">
        <v>13</v>
      </c>
      <c r="H59" s="81" t="s">
        <v>127</v>
      </c>
      <c r="I59" s="83" t="s">
        <v>88</v>
      </c>
      <c r="J59" s="84" t="s">
        <v>16</v>
      </c>
    </row>
    <row r="60" spans="2:10">
      <c r="B60" s="79">
        <v>53</v>
      </c>
      <c r="C60" s="80" t="s">
        <v>128</v>
      </c>
      <c r="D60" s="81">
        <f t="shared" si="0"/>
        <v>609</v>
      </c>
      <c r="E60" s="81">
        <f t="shared" si="2"/>
        <v>616</v>
      </c>
      <c r="F60" s="81">
        <v>8</v>
      </c>
      <c r="G60" s="82" t="s">
        <v>13</v>
      </c>
      <c r="H60" s="81" t="s">
        <v>127</v>
      </c>
      <c r="I60" s="83" t="s">
        <v>88</v>
      </c>
      <c r="J60" s="84" t="s">
        <v>16</v>
      </c>
    </row>
    <row r="61" spans="2:10">
      <c r="B61" s="79">
        <v>54</v>
      </c>
      <c r="C61" s="80" t="s">
        <v>129</v>
      </c>
      <c r="D61" s="81">
        <f t="shared" si="0"/>
        <v>617</v>
      </c>
      <c r="E61" s="81">
        <f t="shared" si="2"/>
        <v>631</v>
      </c>
      <c r="F61" s="81">
        <v>15</v>
      </c>
      <c r="G61" s="82" t="s">
        <v>13</v>
      </c>
      <c r="H61" s="81" t="s">
        <v>127</v>
      </c>
      <c r="I61" s="83" t="s">
        <v>88</v>
      </c>
      <c r="J61" s="84" t="s">
        <v>16</v>
      </c>
    </row>
    <row r="62" spans="2:10">
      <c r="B62" s="79">
        <v>55</v>
      </c>
      <c r="C62" s="80" t="s">
        <v>44</v>
      </c>
      <c r="D62" s="81">
        <f t="shared" si="0"/>
        <v>632</v>
      </c>
      <c r="E62" s="81">
        <f t="shared" si="2"/>
        <v>646</v>
      </c>
      <c r="F62" s="81">
        <v>15</v>
      </c>
      <c r="G62" s="82" t="s">
        <v>130</v>
      </c>
      <c r="H62" s="81" t="s">
        <v>14</v>
      </c>
      <c r="I62" s="83" t="s">
        <v>131</v>
      </c>
      <c r="J62" s="84" t="s">
        <v>132</v>
      </c>
    </row>
    <row r="63" spans="2:10" ht="23.5">
      <c r="B63" s="91">
        <v>56</v>
      </c>
      <c r="C63" s="80" t="s">
        <v>47</v>
      </c>
      <c r="D63" s="81">
        <f t="shared" si="0"/>
        <v>647</v>
      </c>
      <c r="E63" s="81">
        <f t="shared" si="2"/>
        <v>661</v>
      </c>
      <c r="F63" s="81">
        <v>15</v>
      </c>
      <c r="G63" s="82" t="s">
        <v>130</v>
      </c>
      <c r="H63" s="81" t="s">
        <v>14</v>
      </c>
      <c r="I63" s="90" t="s">
        <v>133</v>
      </c>
      <c r="J63" s="84" t="s">
        <v>132</v>
      </c>
    </row>
    <row r="64" spans="2:10">
      <c r="B64" s="79">
        <v>57</v>
      </c>
      <c r="C64" s="80" t="s">
        <v>134</v>
      </c>
      <c r="D64" s="81">
        <f t="shared" si="0"/>
        <v>662</v>
      </c>
      <c r="E64" s="81">
        <f t="shared" si="2"/>
        <v>671</v>
      </c>
      <c r="F64" s="81">
        <v>10</v>
      </c>
      <c r="G64" s="82" t="s">
        <v>13</v>
      </c>
      <c r="H64" s="81" t="s">
        <v>14</v>
      </c>
      <c r="I64" s="83" t="s">
        <v>135</v>
      </c>
      <c r="J64" s="84" t="s">
        <v>16</v>
      </c>
    </row>
    <row r="65" spans="2:10" ht="23.5">
      <c r="B65" s="91">
        <v>58</v>
      </c>
      <c r="C65" s="80" t="s">
        <v>136</v>
      </c>
      <c r="D65" s="81">
        <f t="shared" si="0"/>
        <v>672</v>
      </c>
      <c r="E65" s="81">
        <f t="shared" si="2"/>
        <v>685</v>
      </c>
      <c r="F65" s="81">
        <v>14</v>
      </c>
      <c r="G65" s="82" t="s">
        <v>85</v>
      </c>
      <c r="H65" s="81" t="s">
        <v>109</v>
      </c>
      <c r="I65" s="90" t="s">
        <v>137</v>
      </c>
      <c r="J65" s="84" t="s">
        <v>16</v>
      </c>
    </row>
    <row r="66" spans="2:10" ht="23.5">
      <c r="B66" s="91">
        <v>59</v>
      </c>
      <c r="C66" s="109" t="s">
        <v>138</v>
      </c>
      <c r="D66" s="110">
        <f t="shared" si="0"/>
        <v>686</v>
      </c>
      <c r="E66" s="110">
        <f t="shared" si="2"/>
        <v>699</v>
      </c>
      <c r="F66" s="110">
        <v>14</v>
      </c>
      <c r="G66" s="111" t="s">
        <v>85</v>
      </c>
      <c r="H66" s="110" t="s">
        <v>109</v>
      </c>
      <c r="I66" s="112" t="s">
        <v>139</v>
      </c>
      <c r="J66" s="84" t="s">
        <v>16</v>
      </c>
    </row>
    <row r="67" spans="2:10">
      <c r="B67" s="79">
        <v>60</v>
      </c>
      <c r="C67" s="80" t="s">
        <v>140</v>
      </c>
      <c r="D67" s="81">
        <f t="shared" si="0"/>
        <v>700</v>
      </c>
      <c r="E67" s="81">
        <f t="shared" si="2"/>
        <v>707</v>
      </c>
      <c r="F67" s="81">
        <v>8</v>
      </c>
      <c r="G67" s="82" t="s">
        <v>13</v>
      </c>
      <c r="H67" s="81" t="s">
        <v>109</v>
      </c>
      <c r="I67" s="83" t="s">
        <v>88</v>
      </c>
      <c r="J67" s="113" t="s">
        <v>16</v>
      </c>
    </row>
    <row r="68" spans="2:10">
      <c r="B68" s="79">
        <v>61</v>
      </c>
      <c r="C68" s="80" t="s">
        <v>141</v>
      </c>
      <c r="D68" s="81">
        <f t="shared" si="0"/>
        <v>708</v>
      </c>
      <c r="E68" s="81">
        <f t="shared" si="2"/>
        <v>710</v>
      </c>
      <c r="F68" s="81">
        <v>3</v>
      </c>
      <c r="G68" s="82" t="s">
        <v>13</v>
      </c>
      <c r="H68" s="81" t="s">
        <v>82</v>
      </c>
      <c r="I68" s="83" t="s">
        <v>91</v>
      </c>
      <c r="J68" s="113" t="s">
        <v>16</v>
      </c>
    </row>
    <row r="69" spans="2:10">
      <c r="B69" s="79">
        <v>62</v>
      </c>
      <c r="C69" s="80" t="s">
        <v>142</v>
      </c>
      <c r="D69" s="81">
        <f t="shared" si="0"/>
        <v>711</v>
      </c>
      <c r="E69" s="81">
        <f t="shared" si="2"/>
        <v>727</v>
      </c>
      <c r="F69" s="81">
        <v>17</v>
      </c>
      <c r="G69" s="82" t="s">
        <v>52</v>
      </c>
      <c r="H69" s="81" t="s">
        <v>82</v>
      </c>
      <c r="I69" s="83" t="s">
        <v>143</v>
      </c>
      <c r="J69" s="113" t="s">
        <v>16</v>
      </c>
    </row>
    <row r="70" spans="2:10">
      <c r="B70" s="114">
        <v>63</v>
      </c>
      <c r="C70" s="82" t="s">
        <v>144</v>
      </c>
      <c r="D70" s="81">
        <f t="shared" si="0"/>
        <v>728</v>
      </c>
      <c r="E70" s="81">
        <f t="shared" si="2"/>
        <v>797</v>
      </c>
      <c r="F70" s="81">
        <v>70</v>
      </c>
      <c r="G70" s="82" t="s">
        <v>13</v>
      </c>
      <c r="H70" s="81" t="s">
        <v>109</v>
      </c>
      <c r="I70" s="83" t="s">
        <v>145</v>
      </c>
      <c r="J70" s="84" t="s">
        <v>16</v>
      </c>
    </row>
    <row r="71" spans="2:10">
      <c r="B71" s="114">
        <v>64</v>
      </c>
      <c r="C71" s="82" t="s">
        <v>146</v>
      </c>
      <c r="D71" s="81">
        <f t="shared" si="0"/>
        <v>798</v>
      </c>
      <c r="E71" s="81">
        <f t="shared" si="2"/>
        <v>806</v>
      </c>
      <c r="F71" s="81">
        <v>9</v>
      </c>
      <c r="G71" s="82" t="s">
        <v>13</v>
      </c>
      <c r="H71" s="81" t="s">
        <v>109</v>
      </c>
      <c r="I71" s="83" t="s">
        <v>147</v>
      </c>
      <c r="J71" s="115" t="s">
        <v>16</v>
      </c>
    </row>
    <row r="72" spans="2:10" ht="14.5" thickBot="1">
      <c r="B72" s="116">
        <v>65</v>
      </c>
      <c r="C72" s="117" t="s">
        <v>148</v>
      </c>
      <c r="D72" s="118">
        <f>+E71+1</f>
        <v>807</v>
      </c>
      <c r="E72" s="118">
        <f t="shared" si="2"/>
        <v>826</v>
      </c>
      <c r="F72" s="118">
        <v>20</v>
      </c>
      <c r="G72" s="119" t="s">
        <v>13</v>
      </c>
      <c r="H72" s="118" t="s">
        <v>109</v>
      </c>
      <c r="I72" s="120" t="s">
        <v>149</v>
      </c>
      <c r="J72" s="115" t="s">
        <v>16</v>
      </c>
    </row>
    <row r="73" spans="2:10">
      <c r="B73" s="121"/>
      <c r="C73" s="122"/>
      <c r="D73" s="123"/>
      <c r="E73" s="123"/>
      <c r="F73" s="123"/>
      <c r="G73" s="122"/>
      <c r="H73" s="123"/>
      <c r="I73" s="122"/>
      <c r="J73" s="67"/>
    </row>
    <row r="74" spans="2:10">
      <c r="B74" s="124"/>
      <c r="C74" s="125" t="s">
        <v>150</v>
      </c>
      <c r="D74" s="126"/>
      <c r="E74" s="126"/>
      <c r="F74" s="126"/>
      <c r="G74" s="127"/>
      <c r="H74" s="126"/>
      <c r="I74" s="127"/>
      <c r="J74" s="128"/>
    </row>
    <row r="75" spans="2:10">
      <c r="B75" s="124"/>
      <c r="C75" s="129" t="s">
        <v>151</v>
      </c>
      <c r="D75" s="126"/>
      <c r="E75" s="126"/>
      <c r="F75" s="126"/>
      <c r="G75" s="127"/>
      <c r="H75" s="126"/>
      <c r="I75" s="127"/>
      <c r="J75" s="128"/>
    </row>
    <row r="76" spans="2:10">
      <c r="B76" s="124"/>
      <c r="C76" s="129" t="s">
        <v>152</v>
      </c>
      <c r="D76" s="126"/>
      <c r="E76" s="126"/>
      <c r="F76" s="126"/>
      <c r="G76" s="127"/>
      <c r="H76" s="126"/>
      <c r="I76" s="127"/>
      <c r="J76" s="128"/>
    </row>
    <row r="77" spans="2:10">
      <c r="B77" s="124"/>
      <c r="C77" s="129" t="s">
        <v>153</v>
      </c>
      <c r="D77" s="126"/>
      <c r="E77" s="126"/>
      <c r="F77" s="126"/>
      <c r="G77" s="127"/>
      <c r="H77" s="126"/>
      <c r="I77" s="127"/>
      <c r="J77" s="128"/>
    </row>
    <row r="78" spans="2:10" ht="27.75" customHeight="1">
      <c r="B78" s="124"/>
      <c r="C78" s="129"/>
      <c r="D78" s="126"/>
      <c r="E78" s="126"/>
      <c r="F78" s="126"/>
      <c r="G78" s="127"/>
      <c r="H78" s="126"/>
      <c r="I78" s="127"/>
      <c r="J78" s="128"/>
    </row>
    <row r="79" spans="2:10" ht="36.65" customHeight="1">
      <c r="B79" s="130"/>
      <c r="C79" s="199" t="s">
        <v>154</v>
      </c>
      <c r="D79" s="200"/>
      <c r="E79" s="200"/>
      <c r="F79" s="200"/>
      <c r="G79" s="200"/>
      <c r="H79" s="200"/>
      <c r="J79" s="128"/>
    </row>
    <row r="80" spans="2:10" ht="27.75" customHeight="1">
      <c r="B80" s="130"/>
      <c r="C80" s="125"/>
      <c r="J80" s="128"/>
    </row>
    <row r="81" spans="2:10" ht="33" customHeight="1">
      <c r="B81" s="130"/>
      <c r="C81" s="199" t="s">
        <v>155</v>
      </c>
      <c r="D81" s="200"/>
      <c r="E81" s="200"/>
      <c r="F81" s="200"/>
      <c r="G81" s="200"/>
      <c r="H81" s="200"/>
      <c r="J81" s="128"/>
    </row>
    <row r="82" spans="2:10" ht="14.5" thickBot="1">
      <c r="B82" s="68"/>
      <c r="C82" s="131"/>
      <c r="D82" s="131"/>
      <c r="E82" s="131"/>
      <c r="F82" s="131"/>
      <c r="G82" s="131"/>
      <c r="H82" s="131"/>
      <c r="I82" s="131"/>
      <c r="J82" s="72"/>
    </row>
  </sheetData>
  <mergeCells count="2">
    <mergeCell ref="C79:H79"/>
    <mergeCell ref="C81:H81"/>
  </mergeCells>
  <pageMargins left="0.74803149606299213" right="0.74803149606299213" top="0.39370078740157483" bottom="0.39370078740157483" header="0.51181102362204722" footer="0.51181102362204722"/>
  <pageSetup scale="56"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CB3EF-47CE-47EA-9F4D-CE8A5EB08BDA}">
  <dimension ref="B2:H35"/>
  <sheetViews>
    <sheetView topLeftCell="B2" workbookViewId="0">
      <selection activeCell="B2" sqref="B2:C2"/>
    </sheetView>
  </sheetViews>
  <sheetFormatPr defaultColWidth="12.453125" defaultRowHeight="14"/>
  <cols>
    <col min="1" max="1" width="3.1796875" style="59" customWidth="1"/>
    <col min="2" max="2" width="4.453125" style="61" customWidth="1"/>
    <col min="3" max="3" width="37.54296875" style="59" bestFit="1" customWidth="1"/>
    <col min="4" max="4" width="12.453125" style="59"/>
    <col min="5" max="5" width="4.26953125" style="59" bestFit="1" customWidth="1"/>
    <col min="6" max="6" width="24.54296875" style="59" customWidth="1"/>
    <col min="7" max="256" width="12.453125" style="59"/>
    <col min="257" max="257" width="3.1796875" style="59" customWidth="1"/>
    <col min="258" max="258" width="4.453125" style="59" customWidth="1"/>
    <col min="259" max="259" width="37.54296875" style="59" bestFit="1" customWidth="1"/>
    <col min="260" max="260" width="12.453125" style="59"/>
    <col min="261" max="261" width="4.26953125" style="59" bestFit="1" customWidth="1"/>
    <col min="262" max="262" width="24.54296875" style="59" customWidth="1"/>
    <col min="263" max="512" width="12.453125" style="59"/>
    <col min="513" max="513" width="3.1796875" style="59" customWidth="1"/>
    <col min="514" max="514" width="4.453125" style="59" customWidth="1"/>
    <col min="515" max="515" width="37.54296875" style="59" bestFit="1" customWidth="1"/>
    <col min="516" max="516" width="12.453125" style="59"/>
    <col min="517" max="517" width="4.26953125" style="59" bestFit="1" customWidth="1"/>
    <col min="518" max="518" width="24.54296875" style="59" customWidth="1"/>
    <col min="519" max="768" width="12.453125" style="59"/>
    <col min="769" max="769" width="3.1796875" style="59" customWidth="1"/>
    <col min="770" max="770" width="4.453125" style="59" customWidth="1"/>
    <col min="771" max="771" width="37.54296875" style="59" bestFit="1" customWidth="1"/>
    <col min="772" max="772" width="12.453125" style="59"/>
    <col min="773" max="773" width="4.26953125" style="59" bestFit="1" customWidth="1"/>
    <col min="774" max="774" width="24.54296875" style="59" customWidth="1"/>
    <col min="775" max="1024" width="12.453125" style="59"/>
    <col min="1025" max="1025" width="3.1796875" style="59" customWidth="1"/>
    <col min="1026" max="1026" width="4.453125" style="59" customWidth="1"/>
    <col min="1027" max="1027" width="37.54296875" style="59" bestFit="1" customWidth="1"/>
    <col min="1028" max="1028" width="12.453125" style="59"/>
    <col min="1029" max="1029" width="4.26953125" style="59" bestFit="1" customWidth="1"/>
    <col min="1030" max="1030" width="24.54296875" style="59" customWidth="1"/>
    <col min="1031" max="1280" width="12.453125" style="59"/>
    <col min="1281" max="1281" width="3.1796875" style="59" customWidth="1"/>
    <col min="1282" max="1282" width="4.453125" style="59" customWidth="1"/>
    <col min="1283" max="1283" width="37.54296875" style="59" bestFit="1" customWidth="1"/>
    <col min="1284" max="1284" width="12.453125" style="59"/>
    <col min="1285" max="1285" width="4.26953125" style="59" bestFit="1" customWidth="1"/>
    <col min="1286" max="1286" width="24.54296875" style="59" customWidth="1"/>
    <col min="1287" max="1536" width="12.453125" style="59"/>
    <col min="1537" max="1537" width="3.1796875" style="59" customWidth="1"/>
    <col min="1538" max="1538" width="4.453125" style="59" customWidth="1"/>
    <col min="1539" max="1539" width="37.54296875" style="59" bestFit="1" customWidth="1"/>
    <col min="1540" max="1540" width="12.453125" style="59"/>
    <col min="1541" max="1541" width="4.26953125" style="59" bestFit="1" customWidth="1"/>
    <col min="1542" max="1542" width="24.54296875" style="59" customWidth="1"/>
    <col min="1543" max="1792" width="12.453125" style="59"/>
    <col min="1793" max="1793" width="3.1796875" style="59" customWidth="1"/>
    <col min="1794" max="1794" width="4.453125" style="59" customWidth="1"/>
    <col min="1795" max="1795" width="37.54296875" style="59" bestFit="1" customWidth="1"/>
    <col min="1796" max="1796" width="12.453125" style="59"/>
    <col min="1797" max="1797" width="4.26953125" style="59" bestFit="1" customWidth="1"/>
    <col min="1798" max="1798" width="24.54296875" style="59" customWidth="1"/>
    <col min="1799" max="2048" width="12.453125" style="59"/>
    <col min="2049" max="2049" width="3.1796875" style="59" customWidth="1"/>
    <col min="2050" max="2050" width="4.453125" style="59" customWidth="1"/>
    <col min="2051" max="2051" width="37.54296875" style="59" bestFit="1" customWidth="1"/>
    <col min="2052" max="2052" width="12.453125" style="59"/>
    <col min="2053" max="2053" width="4.26953125" style="59" bestFit="1" customWidth="1"/>
    <col min="2054" max="2054" width="24.54296875" style="59" customWidth="1"/>
    <col min="2055" max="2304" width="12.453125" style="59"/>
    <col min="2305" max="2305" width="3.1796875" style="59" customWidth="1"/>
    <col min="2306" max="2306" width="4.453125" style="59" customWidth="1"/>
    <col min="2307" max="2307" width="37.54296875" style="59" bestFit="1" customWidth="1"/>
    <col min="2308" max="2308" width="12.453125" style="59"/>
    <col min="2309" max="2309" width="4.26953125" style="59" bestFit="1" customWidth="1"/>
    <col min="2310" max="2310" width="24.54296875" style="59" customWidth="1"/>
    <col min="2311" max="2560" width="12.453125" style="59"/>
    <col min="2561" max="2561" width="3.1796875" style="59" customWidth="1"/>
    <col min="2562" max="2562" width="4.453125" style="59" customWidth="1"/>
    <col min="2563" max="2563" width="37.54296875" style="59" bestFit="1" customWidth="1"/>
    <col min="2564" max="2564" width="12.453125" style="59"/>
    <col min="2565" max="2565" width="4.26953125" style="59" bestFit="1" customWidth="1"/>
    <col min="2566" max="2566" width="24.54296875" style="59" customWidth="1"/>
    <col min="2567" max="2816" width="12.453125" style="59"/>
    <col min="2817" max="2817" width="3.1796875" style="59" customWidth="1"/>
    <col min="2818" max="2818" width="4.453125" style="59" customWidth="1"/>
    <col min="2819" max="2819" width="37.54296875" style="59" bestFit="1" customWidth="1"/>
    <col min="2820" max="2820" width="12.453125" style="59"/>
    <col min="2821" max="2821" width="4.26953125" style="59" bestFit="1" customWidth="1"/>
    <col min="2822" max="2822" width="24.54296875" style="59" customWidth="1"/>
    <col min="2823" max="3072" width="12.453125" style="59"/>
    <col min="3073" max="3073" width="3.1796875" style="59" customWidth="1"/>
    <col min="3074" max="3074" width="4.453125" style="59" customWidth="1"/>
    <col min="3075" max="3075" width="37.54296875" style="59" bestFit="1" customWidth="1"/>
    <col min="3076" max="3076" width="12.453125" style="59"/>
    <col min="3077" max="3077" width="4.26953125" style="59" bestFit="1" customWidth="1"/>
    <col min="3078" max="3078" width="24.54296875" style="59" customWidth="1"/>
    <col min="3079" max="3328" width="12.453125" style="59"/>
    <col min="3329" max="3329" width="3.1796875" style="59" customWidth="1"/>
    <col min="3330" max="3330" width="4.453125" style="59" customWidth="1"/>
    <col min="3331" max="3331" width="37.54296875" style="59" bestFit="1" customWidth="1"/>
    <col min="3332" max="3332" width="12.453125" style="59"/>
    <col min="3333" max="3333" width="4.26953125" style="59" bestFit="1" customWidth="1"/>
    <col min="3334" max="3334" width="24.54296875" style="59" customWidth="1"/>
    <col min="3335" max="3584" width="12.453125" style="59"/>
    <col min="3585" max="3585" width="3.1796875" style="59" customWidth="1"/>
    <col min="3586" max="3586" width="4.453125" style="59" customWidth="1"/>
    <col min="3587" max="3587" width="37.54296875" style="59" bestFit="1" customWidth="1"/>
    <col min="3588" max="3588" width="12.453125" style="59"/>
    <col min="3589" max="3589" width="4.26953125" style="59" bestFit="1" customWidth="1"/>
    <col min="3590" max="3590" width="24.54296875" style="59" customWidth="1"/>
    <col min="3591" max="3840" width="12.453125" style="59"/>
    <col min="3841" max="3841" width="3.1796875" style="59" customWidth="1"/>
    <col min="3842" max="3842" width="4.453125" style="59" customWidth="1"/>
    <col min="3843" max="3843" width="37.54296875" style="59" bestFit="1" customWidth="1"/>
    <col min="3844" max="3844" width="12.453125" style="59"/>
    <col min="3845" max="3845" width="4.26953125" style="59" bestFit="1" customWidth="1"/>
    <col min="3846" max="3846" width="24.54296875" style="59" customWidth="1"/>
    <col min="3847" max="4096" width="12.453125" style="59"/>
    <col min="4097" max="4097" width="3.1796875" style="59" customWidth="1"/>
    <col min="4098" max="4098" width="4.453125" style="59" customWidth="1"/>
    <col min="4099" max="4099" width="37.54296875" style="59" bestFit="1" customWidth="1"/>
    <col min="4100" max="4100" width="12.453125" style="59"/>
    <col min="4101" max="4101" width="4.26953125" style="59" bestFit="1" customWidth="1"/>
    <col min="4102" max="4102" width="24.54296875" style="59" customWidth="1"/>
    <col min="4103" max="4352" width="12.453125" style="59"/>
    <col min="4353" max="4353" width="3.1796875" style="59" customWidth="1"/>
    <col min="4354" max="4354" width="4.453125" style="59" customWidth="1"/>
    <col min="4355" max="4355" width="37.54296875" style="59" bestFit="1" customWidth="1"/>
    <col min="4356" max="4356" width="12.453125" style="59"/>
    <col min="4357" max="4357" width="4.26953125" style="59" bestFit="1" customWidth="1"/>
    <col min="4358" max="4358" width="24.54296875" style="59" customWidth="1"/>
    <col min="4359" max="4608" width="12.453125" style="59"/>
    <col min="4609" max="4609" width="3.1796875" style="59" customWidth="1"/>
    <col min="4610" max="4610" width="4.453125" style="59" customWidth="1"/>
    <col min="4611" max="4611" width="37.54296875" style="59" bestFit="1" customWidth="1"/>
    <col min="4612" max="4612" width="12.453125" style="59"/>
    <col min="4613" max="4613" width="4.26953125" style="59" bestFit="1" customWidth="1"/>
    <col min="4614" max="4614" width="24.54296875" style="59" customWidth="1"/>
    <col min="4615" max="4864" width="12.453125" style="59"/>
    <col min="4865" max="4865" width="3.1796875" style="59" customWidth="1"/>
    <col min="4866" max="4866" width="4.453125" style="59" customWidth="1"/>
    <col min="4867" max="4867" width="37.54296875" style="59" bestFit="1" customWidth="1"/>
    <col min="4868" max="4868" width="12.453125" style="59"/>
    <col min="4869" max="4869" width="4.26953125" style="59" bestFit="1" customWidth="1"/>
    <col min="4870" max="4870" width="24.54296875" style="59" customWidth="1"/>
    <col min="4871" max="5120" width="12.453125" style="59"/>
    <col min="5121" max="5121" width="3.1796875" style="59" customWidth="1"/>
    <col min="5122" max="5122" width="4.453125" style="59" customWidth="1"/>
    <col min="5123" max="5123" width="37.54296875" style="59" bestFit="1" customWidth="1"/>
    <col min="5124" max="5124" width="12.453125" style="59"/>
    <col min="5125" max="5125" width="4.26953125" style="59" bestFit="1" customWidth="1"/>
    <col min="5126" max="5126" width="24.54296875" style="59" customWidth="1"/>
    <col min="5127" max="5376" width="12.453125" style="59"/>
    <col min="5377" max="5377" width="3.1796875" style="59" customWidth="1"/>
    <col min="5378" max="5378" width="4.453125" style="59" customWidth="1"/>
    <col min="5379" max="5379" width="37.54296875" style="59" bestFit="1" customWidth="1"/>
    <col min="5380" max="5380" width="12.453125" style="59"/>
    <col min="5381" max="5381" width="4.26953125" style="59" bestFit="1" customWidth="1"/>
    <col min="5382" max="5382" width="24.54296875" style="59" customWidth="1"/>
    <col min="5383" max="5632" width="12.453125" style="59"/>
    <col min="5633" max="5633" width="3.1796875" style="59" customWidth="1"/>
    <col min="5634" max="5634" width="4.453125" style="59" customWidth="1"/>
    <col min="5635" max="5635" width="37.54296875" style="59" bestFit="1" customWidth="1"/>
    <col min="5636" max="5636" width="12.453125" style="59"/>
    <col min="5637" max="5637" width="4.26953125" style="59" bestFit="1" customWidth="1"/>
    <col min="5638" max="5638" width="24.54296875" style="59" customWidth="1"/>
    <col min="5639" max="5888" width="12.453125" style="59"/>
    <col min="5889" max="5889" width="3.1796875" style="59" customWidth="1"/>
    <col min="5890" max="5890" width="4.453125" style="59" customWidth="1"/>
    <col min="5891" max="5891" width="37.54296875" style="59" bestFit="1" customWidth="1"/>
    <col min="5892" max="5892" width="12.453125" style="59"/>
    <col min="5893" max="5893" width="4.26953125" style="59" bestFit="1" customWidth="1"/>
    <col min="5894" max="5894" width="24.54296875" style="59" customWidth="1"/>
    <col min="5895" max="6144" width="12.453125" style="59"/>
    <col min="6145" max="6145" width="3.1796875" style="59" customWidth="1"/>
    <col min="6146" max="6146" width="4.453125" style="59" customWidth="1"/>
    <col min="6147" max="6147" width="37.54296875" style="59" bestFit="1" customWidth="1"/>
    <col min="6148" max="6148" width="12.453125" style="59"/>
    <col min="6149" max="6149" width="4.26953125" style="59" bestFit="1" customWidth="1"/>
    <col min="6150" max="6150" width="24.54296875" style="59" customWidth="1"/>
    <col min="6151" max="6400" width="12.453125" style="59"/>
    <col min="6401" max="6401" width="3.1796875" style="59" customWidth="1"/>
    <col min="6402" max="6402" width="4.453125" style="59" customWidth="1"/>
    <col min="6403" max="6403" width="37.54296875" style="59" bestFit="1" customWidth="1"/>
    <col min="6404" max="6404" width="12.453125" style="59"/>
    <col min="6405" max="6405" width="4.26953125" style="59" bestFit="1" customWidth="1"/>
    <col min="6406" max="6406" width="24.54296875" style="59" customWidth="1"/>
    <col min="6407" max="6656" width="12.453125" style="59"/>
    <col min="6657" max="6657" width="3.1796875" style="59" customWidth="1"/>
    <col min="6658" max="6658" width="4.453125" style="59" customWidth="1"/>
    <col min="6659" max="6659" width="37.54296875" style="59" bestFit="1" customWidth="1"/>
    <col min="6660" max="6660" width="12.453125" style="59"/>
    <col min="6661" max="6661" width="4.26953125" style="59" bestFit="1" customWidth="1"/>
    <col min="6662" max="6662" width="24.54296875" style="59" customWidth="1"/>
    <col min="6663" max="6912" width="12.453125" style="59"/>
    <col min="6913" max="6913" width="3.1796875" style="59" customWidth="1"/>
    <col min="6914" max="6914" width="4.453125" style="59" customWidth="1"/>
    <col min="6915" max="6915" width="37.54296875" style="59" bestFit="1" customWidth="1"/>
    <col min="6916" max="6916" width="12.453125" style="59"/>
    <col min="6917" max="6917" width="4.26953125" style="59" bestFit="1" customWidth="1"/>
    <col min="6918" max="6918" width="24.54296875" style="59" customWidth="1"/>
    <col min="6919" max="7168" width="12.453125" style="59"/>
    <col min="7169" max="7169" width="3.1796875" style="59" customWidth="1"/>
    <col min="7170" max="7170" width="4.453125" style="59" customWidth="1"/>
    <col min="7171" max="7171" width="37.54296875" style="59" bestFit="1" customWidth="1"/>
    <col min="7172" max="7172" width="12.453125" style="59"/>
    <col min="7173" max="7173" width="4.26953125" style="59" bestFit="1" customWidth="1"/>
    <col min="7174" max="7174" width="24.54296875" style="59" customWidth="1"/>
    <col min="7175" max="7424" width="12.453125" style="59"/>
    <col min="7425" max="7425" width="3.1796875" style="59" customWidth="1"/>
    <col min="7426" max="7426" width="4.453125" style="59" customWidth="1"/>
    <col min="7427" max="7427" width="37.54296875" style="59" bestFit="1" customWidth="1"/>
    <col min="7428" max="7428" width="12.453125" style="59"/>
    <col min="7429" max="7429" width="4.26953125" style="59" bestFit="1" customWidth="1"/>
    <col min="7430" max="7430" width="24.54296875" style="59" customWidth="1"/>
    <col min="7431" max="7680" width="12.453125" style="59"/>
    <col min="7681" max="7681" width="3.1796875" style="59" customWidth="1"/>
    <col min="7682" max="7682" width="4.453125" style="59" customWidth="1"/>
    <col min="7683" max="7683" width="37.54296875" style="59" bestFit="1" customWidth="1"/>
    <col min="7684" max="7684" width="12.453125" style="59"/>
    <col min="7685" max="7685" width="4.26953125" style="59" bestFit="1" customWidth="1"/>
    <col min="7686" max="7686" width="24.54296875" style="59" customWidth="1"/>
    <col min="7687" max="7936" width="12.453125" style="59"/>
    <col min="7937" max="7937" width="3.1796875" style="59" customWidth="1"/>
    <col min="7938" max="7938" width="4.453125" style="59" customWidth="1"/>
    <col min="7939" max="7939" width="37.54296875" style="59" bestFit="1" customWidth="1"/>
    <col min="7940" max="7940" width="12.453125" style="59"/>
    <col min="7941" max="7941" width="4.26953125" style="59" bestFit="1" customWidth="1"/>
    <col min="7942" max="7942" width="24.54296875" style="59" customWidth="1"/>
    <col min="7943" max="8192" width="12.453125" style="59"/>
    <col min="8193" max="8193" width="3.1796875" style="59" customWidth="1"/>
    <col min="8194" max="8194" width="4.453125" style="59" customWidth="1"/>
    <col min="8195" max="8195" width="37.54296875" style="59" bestFit="1" customWidth="1"/>
    <col min="8196" max="8196" width="12.453125" style="59"/>
    <col min="8197" max="8197" width="4.26953125" style="59" bestFit="1" customWidth="1"/>
    <col min="8198" max="8198" width="24.54296875" style="59" customWidth="1"/>
    <col min="8199" max="8448" width="12.453125" style="59"/>
    <col min="8449" max="8449" width="3.1796875" style="59" customWidth="1"/>
    <col min="8450" max="8450" width="4.453125" style="59" customWidth="1"/>
    <col min="8451" max="8451" width="37.54296875" style="59" bestFit="1" customWidth="1"/>
    <col min="8452" max="8452" width="12.453125" style="59"/>
    <col min="8453" max="8453" width="4.26953125" style="59" bestFit="1" customWidth="1"/>
    <col min="8454" max="8454" width="24.54296875" style="59" customWidth="1"/>
    <col min="8455" max="8704" width="12.453125" style="59"/>
    <col min="8705" max="8705" width="3.1796875" style="59" customWidth="1"/>
    <col min="8706" max="8706" width="4.453125" style="59" customWidth="1"/>
    <col min="8707" max="8707" width="37.54296875" style="59" bestFit="1" customWidth="1"/>
    <col min="8708" max="8708" width="12.453125" style="59"/>
    <col min="8709" max="8709" width="4.26953125" style="59" bestFit="1" customWidth="1"/>
    <col min="8710" max="8710" width="24.54296875" style="59" customWidth="1"/>
    <col min="8711" max="8960" width="12.453125" style="59"/>
    <col min="8961" max="8961" width="3.1796875" style="59" customWidth="1"/>
    <col min="8962" max="8962" width="4.453125" style="59" customWidth="1"/>
    <col min="8963" max="8963" width="37.54296875" style="59" bestFit="1" customWidth="1"/>
    <col min="8964" max="8964" width="12.453125" style="59"/>
    <col min="8965" max="8965" width="4.26953125" style="59" bestFit="1" customWidth="1"/>
    <col min="8966" max="8966" width="24.54296875" style="59" customWidth="1"/>
    <col min="8967" max="9216" width="12.453125" style="59"/>
    <col min="9217" max="9217" width="3.1796875" style="59" customWidth="1"/>
    <col min="9218" max="9218" width="4.453125" style="59" customWidth="1"/>
    <col min="9219" max="9219" width="37.54296875" style="59" bestFit="1" customWidth="1"/>
    <col min="9220" max="9220" width="12.453125" style="59"/>
    <col min="9221" max="9221" width="4.26953125" style="59" bestFit="1" customWidth="1"/>
    <col min="9222" max="9222" width="24.54296875" style="59" customWidth="1"/>
    <col min="9223" max="9472" width="12.453125" style="59"/>
    <col min="9473" max="9473" width="3.1796875" style="59" customWidth="1"/>
    <col min="9474" max="9474" width="4.453125" style="59" customWidth="1"/>
    <col min="9475" max="9475" width="37.54296875" style="59" bestFit="1" customWidth="1"/>
    <col min="9476" max="9476" width="12.453125" style="59"/>
    <col min="9477" max="9477" width="4.26953125" style="59" bestFit="1" customWidth="1"/>
    <col min="9478" max="9478" width="24.54296875" style="59" customWidth="1"/>
    <col min="9479" max="9728" width="12.453125" style="59"/>
    <col min="9729" max="9729" width="3.1796875" style="59" customWidth="1"/>
    <col min="9730" max="9730" width="4.453125" style="59" customWidth="1"/>
    <col min="9731" max="9731" width="37.54296875" style="59" bestFit="1" customWidth="1"/>
    <col min="9732" max="9732" width="12.453125" style="59"/>
    <col min="9733" max="9733" width="4.26953125" style="59" bestFit="1" customWidth="1"/>
    <col min="9734" max="9734" width="24.54296875" style="59" customWidth="1"/>
    <col min="9735" max="9984" width="12.453125" style="59"/>
    <col min="9985" max="9985" width="3.1796875" style="59" customWidth="1"/>
    <col min="9986" max="9986" width="4.453125" style="59" customWidth="1"/>
    <col min="9987" max="9987" width="37.54296875" style="59" bestFit="1" customWidth="1"/>
    <col min="9988" max="9988" width="12.453125" style="59"/>
    <col min="9989" max="9989" width="4.26953125" style="59" bestFit="1" customWidth="1"/>
    <col min="9990" max="9990" width="24.54296875" style="59" customWidth="1"/>
    <col min="9991" max="10240" width="12.453125" style="59"/>
    <col min="10241" max="10241" width="3.1796875" style="59" customWidth="1"/>
    <col min="10242" max="10242" width="4.453125" style="59" customWidth="1"/>
    <col min="10243" max="10243" width="37.54296875" style="59" bestFit="1" customWidth="1"/>
    <col min="10244" max="10244" width="12.453125" style="59"/>
    <col min="10245" max="10245" width="4.26953125" style="59" bestFit="1" customWidth="1"/>
    <col min="10246" max="10246" width="24.54296875" style="59" customWidth="1"/>
    <col min="10247" max="10496" width="12.453125" style="59"/>
    <col min="10497" max="10497" width="3.1796875" style="59" customWidth="1"/>
    <col min="10498" max="10498" width="4.453125" style="59" customWidth="1"/>
    <col min="10499" max="10499" width="37.54296875" style="59" bestFit="1" customWidth="1"/>
    <col min="10500" max="10500" width="12.453125" style="59"/>
    <col min="10501" max="10501" width="4.26953125" style="59" bestFit="1" customWidth="1"/>
    <col min="10502" max="10502" width="24.54296875" style="59" customWidth="1"/>
    <col min="10503" max="10752" width="12.453125" style="59"/>
    <col min="10753" max="10753" width="3.1796875" style="59" customWidth="1"/>
    <col min="10754" max="10754" width="4.453125" style="59" customWidth="1"/>
    <col min="10755" max="10755" width="37.54296875" style="59" bestFit="1" customWidth="1"/>
    <col min="10756" max="10756" width="12.453125" style="59"/>
    <col min="10757" max="10757" width="4.26953125" style="59" bestFit="1" customWidth="1"/>
    <col min="10758" max="10758" width="24.54296875" style="59" customWidth="1"/>
    <col min="10759" max="11008" width="12.453125" style="59"/>
    <col min="11009" max="11009" width="3.1796875" style="59" customWidth="1"/>
    <col min="11010" max="11010" width="4.453125" style="59" customWidth="1"/>
    <col min="11011" max="11011" width="37.54296875" style="59" bestFit="1" customWidth="1"/>
    <col min="11012" max="11012" width="12.453125" style="59"/>
    <col min="11013" max="11013" width="4.26953125" style="59" bestFit="1" customWidth="1"/>
    <col min="11014" max="11014" width="24.54296875" style="59" customWidth="1"/>
    <col min="11015" max="11264" width="12.453125" style="59"/>
    <col min="11265" max="11265" width="3.1796875" style="59" customWidth="1"/>
    <col min="11266" max="11266" width="4.453125" style="59" customWidth="1"/>
    <col min="11267" max="11267" width="37.54296875" style="59" bestFit="1" customWidth="1"/>
    <col min="11268" max="11268" width="12.453125" style="59"/>
    <col min="11269" max="11269" width="4.26953125" style="59" bestFit="1" customWidth="1"/>
    <col min="11270" max="11270" width="24.54296875" style="59" customWidth="1"/>
    <col min="11271" max="11520" width="12.453125" style="59"/>
    <col min="11521" max="11521" width="3.1796875" style="59" customWidth="1"/>
    <col min="11522" max="11522" width="4.453125" style="59" customWidth="1"/>
    <col min="11523" max="11523" width="37.54296875" style="59" bestFit="1" customWidth="1"/>
    <col min="11524" max="11524" width="12.453125" style="59"/>
    <col min="11525" max="11525" width="4.26953125" style="59" bestFit="1" customWidth="1"/>
    <col min="11526" max="11526" width="24.54296875" style="59" customWidth="1"/>
    <col min="11527" max="11776" width="12.453125" style="59"/>
    <col min="11777" max="11777" width="3.1796875" style="59" customWidth="1"/>
    <col min="11778" max="11778" width="4.453125" style="59" customWidth="1"/>
    <col min="11779" max="11779" width="37.54296875" style="59" bestFit="1" customWidth="1"/>
    <col min="11780" max="11780" width="12.453125" style="59"/>
    <col min="11781" max="11781" width="4.26953125" style="59" bestFit="1" customWidth="1"/>
    <col min="11782" max="11782" width="24.54296875" style="59" customWidth="1"/>
    <col min="11783" max="12032" width="12.453125" style="59"/>
    <col min="12033" max="12033" width="3.1796875" style="59" customWidth="1"/>
    <col min="12034" max="12034" width="4.453125" style="59" customWidth="1"/>
    <col min="12035" max="12035" width="37.54296875" style="59" bestFit="1" customWidth="1"/>
    <col min="12036" max="12036" width="12.453125" style="59"/>
    <col min="12037" max="12037" width="4.26953125" style="59" bestFit="1" customWidth="1"/>
    <col min="12038" max="12038" width="24.54296875" style="59" customWidth="1"/>
    <col min="12039" max="12288" width="12.453125" style="59"/>
    <col min="12289" max="12289" width="3.1796875" style="59" customWidth="1"/>
    <col min="12290" max="12290" width="4.453125" style="59" customWidth="1"/>
    <col min="12291" max="12291" width="37.54296875" style="59" bestFit="1" customWidth="1"/>
    <col min="12292" max="12292" width="12.453125" style="59"/>
    <col min="12293" max="12293" width="4.26953125" style="59" bestFit="1" customWidth="1"/>
    <col min="12294" max="12294" width="24.54296875" style="59" customWidth="1"/>
    <col min="12295" max="12544" width="12.453125" style="59"/>
    <col min="12545" max="12545" width="3.1796875" style="59" customWidth="1"/>
    <col min="12546" max="12546" width="4.453125" style="59" customWidth="1"/>
    <col min="12547" max="12547" width="37.54296875" style="59" bestFit="1" customWidth="1"/>
    <col min="12548" max="12548" width="12.453125" style="59"/>
    <col min="12549" max="12549" width="4.26953125" style="59" bestFit="1" customWidth="1"/>
    <col min="12550" max="12550" width="24.54296875" style="59" customWidth="1"/>
    <col min="12551" max="12800" width="12.453125" style="59"/>
    <col min="12801" max="12801" width="3.1796875" style="59" customWidth="1"/>
    <col min="12802" max="12802" width="4.453125" style="59" customWidth="1"/>
    <col min="12803" max="12803" width="37.54296875" style="59" bestFit="1" customWidth="1"/>
    <col min="12804" max="12804" width="12.453125" style="59"/>
    <col min="12805" max="12805" width="4.26953125" style="59" bestFit="1" customWidth="1"/>
    <col min="12806" max="12806" width="24.54296875" style="59" customWidth="1"/>
    <col min="12807" max="13056" width="12.453125" style="59"/>
    <col min="13057" max="13057" width="3.1796875" style="59" customWidth="1"/>
    <col min="13058" max="13058" width="4.453125" style="59" customWidth="1"/>
    <col min="13059" max="13059" width="37.54296875" style="59" bestFit="1" customWidth="1"/>
    <col min="13060" max="13060" width="12.453125" style="59"/>
    <col min="13061" max="13061" width="4.26953125" style="59" bestFit="1" customWidth="1"/>
    <col min="13062" max="13062" width="24.54296875" style="59" customWidth="1"/>
    <col min="13063" max="13312" width="12.453125" style="59"/>
    <col min="13313" max="13313" width="3.1796875" style="59" customWidth="1"/>
    <col min="13314" max="13314" width="4.453125" style="59" customWidth="1"/>
    <col min="13315" max="13315" width="37.54296875" style="59" bestFit="1" customWidth="1"/>
    <col min="13316" max="13316" width="12.453125" style="59"/>
    <col min="13317" max="13317" width="4.26953125" style="59" bestFit="1" customWidth="1"/>
    <col min="13318" max="13318" width="24.54296875" style="59" customWidth="1"/>
    <col min="13319" max="13568" width="12.453125" style="59"/>
    <col min="13569" max="13569" width="3.1796875" style="59" customWidth="1"/>
    <col min="13570" max="13570" width="4.453125" style="59" customWidth="1"/>
    <col min="13571" max="13571" width="37.54296875" style="59" bestFit="1" customWidth="1"/>
    <col min="13572" max="13572" width="12.453125" style="59"/>
    <col min="13573" max="13573" width="4.26953125" style="59" bestFit="1" customWidth="1"/>
    <col min="13574" max="13574" width="24.54296875" style="59" customWidth="1"/>
    <col min="13575" max="13824" width="12.453125" style="59"/>
    <col min="13825" max="13825" width="3.1796875" style="59" customWidth="1"/>
    <col min="13826" max="13826" width="4.453125" style="59" customWidth="1"/>
    <col min="13827" max="13827" width="37.54296875" style="59" bestFit="1" customWidth="1"/>
    <col min="13828" max="13828" width="12.453125" style="59"/>
    <col min="13829" max="13829" width="4.26953125" style="59" bestFit="1" customWidth="1"/>
    <col min="13830" max="13830" width="24.54296875" style="59" customWidth="1"/>
    <col min="13831" max="14080" width="12.453125" style="59"/>
    <col min="14081" max="14081" width="3.1796875" style="59" customWidth="1"/>
    <col min="14082" max="14082" width="4.453125" style="59" customWidth="1"/>
    <col min="14083" max="14083" width="37.54296875" style="59" bestFit="1" customWidth="1"/>
    <col min="14084" max="14084" width="12.453125" style="59"/>
    <col min="14085" max="14085" width="4.26953125" style="59" bestFit="1" customWidth="1"/>
    <col min="14086" max="14086" width="24.54296875" style="59" customWidth="1"/>
    <col min="14087" max="14336" width="12.453125" style="59"/>
    <col min="14337" max="14337" width="3.1796875" style="59" customWidth="1"/>
    <col min="14338" max="14338" width="4.453125" style="59" customWidth="1"/>
    <col min="14339" max="14339" width="37.54296875" style="59" bestFit="1" customWidth="1"/>
    <col min="14340" max="14340" width="12.453125" style="59"/>
    <col min="14341" max="14341" width="4.26953125" style="59" bestFit="1" customWidth="1"/>
    <col min="14342" max="14342" width="24.54296875" style="59" customWidth="1"/>
    <col min="14343" max="14592" width="12.453125" style="59"/>
    <col min="14593" max="14593" width="3.1796875" style="59" customWidth="1"/>
    <col min="14594" max="14594" width="4.453125" style="59" customWidth="1"/>
    <col min="14595" max="14595" width="37.54296875" style="59" bestFit="1" customWidth="1"/>
    <col min="14596" max="14596" width="12.453125" style="59"/>
    <col min="14597" max="14597" width="4.26953125" style="59" bestFit="1" customWidth="1"/>
    <col min="14598" max="14598" width="24.54296875" style="59" customWidth="1"/>
    <col min="14599" max="14848" width="12.453125" style="59"/>
    <col min="14849" max="14849" width="3.1796875" style="59" customWidth="1"/>
    <col min="14850" max="14850" width="4.453125" style="59" customWidth="1"/>
    <col min="14851" max="14851" width="37.54296875" style="59" bestFit="1" customWidth="1"/>
    <col min="14852" max="14852" width="12.453125" style="59"/>
    <col min="14853" max="14853" width="4.26953125" style="59" bestFit="1" customWidth="1"/>
    <col min="14854" max="14854" width="24.54296875" style="59" customWidth="1"/>
    <col min="14855" max="15104" width="12.453125" style="59"/>
    <col min="15105" max="15105" width="3.1796875" style="59" customWidth="1"/>
    <col min="15106" max="15106" width="4.453125" style="59" customWidth="1"/>
    <col min="15107" max="15107" width="37.54296875" style="59" bestFit="1" customWidth="1"/>
    <col min="15108" max="15108" width="12.453125" style="59"/>
    <col min="15109" max="15109" width="4.26953125" style="59" bestFit="1" customWidth="1"/>
    <col min="15110" max="15110" width="24.54296875" style="59" customWidth="1"/>
    <col min="15111" max="15360" width="12.453125" style="59"/>
    <col min="15361" max="15361" width="3.1796875" style="59" customWidth="1"/>
    <col min="15362" max="15362" width="4.453125" style="59" customWidth="1"/>
    <col min="15363" max="15363" width="37.54296875" style="59" bestFit="1" customWidth="1"/>
    <col min="15364" max="15364" width="12.453125" style="59"/>
    <col min="15365" max="15365" width="4.26953125" style="59" bestFit="1" customWidth="1"/>
    <col min="15366" max="15366" width="24.54296875" style="59" customWidth="1"/>
    <col min="15367" max="15616" width="12.453125" style="59"/>
    <col min="15617" max="15617" width="3.1796875" style="59" customWidth="1"/>
    <col min="15618" max="15618" width="4.453125" style="59" customWidth="1"/>
    <col min="15619" max="15619" width="37.54296875" style="59" bestFit="1" customWidth="1"/>
    <col min="15620" max="15620" width="12.453125" style="59"/>
    <col min="15621" max="15621" width="4.26953125" style="59" bestFit="1" customWidth="1"/>
    <col min="15622" max="15622" width="24.54296875" style="59" customWidth="1"/>
    <col min="15623" max="15872" width="12.453125" style="59"/>
    <col min="15873" max="15873" width="3.1796875" style="59" customWidth="1"/>
    <col min="15874" max="15874" width="4.453125" style="59" customWidth="1"/>
    <col min="15875" max="15875" width="37.54296875" style="59" bestFit="1" customWidth="1"/>
    <col min="15876" max="15876" width="12.453125" style="59"/>
    <col min="15877" max="15877" width="4.26953125" style="59" bestFit="1" customWidth="1"/>
    <col min="15878" max="15878" width="24.54296875" style="59" customWidth="1"/>
    <col min="15879" max="16128" width="12.453125" style="59"/>
    <col min="16129" max="16129" width="3.1796875" style="59" customWidth="1"/>
    <col min="16130" max="16130" width="4.453125" style="59" customWidth="1"/>
    <col min="16131" max="16131" width="37.54296875" style="59" bestFit="1" customWidth="1"/>
    <col min="16132" max="16132" width="12.453125" style="59"/>
    <col min="16133" max="16133" width="4.26953125" style="59" bestFit="1" customWidth="1"/>
    <col min="16134" max="16134" width="24.54296875" style="59" customWidth="1"/>
    <col min="16135" max="16384" width="12.453125" style="59"/>
  </cols>
  <sheetData>
    <row r="2" spans="2:8" ht="14.5" thickBot="1">
      <c r="B2" s="201" t="s">
        <v>156</v>
      </c>
      <c r="C2" s="202"/>
      <c r="E2" s="201" t="s">
        <v>157</v>
      </c>
      <c r="F2" s="201"/>
    </row>
    <row r="3" spans="2:8">
      <c r="B3" s="132" t="s">
        <v>158</v>
      </c>
      <c r="C3" s="133" t="s">
        <v>159</v>
      </c>
      <c r="E3" s="132" t="s">
        <v>158</v>
      </c>
      <c r="F3" s="133" t="s">
        <v>160</v>
      </c>
      <c r="H3" s="59" t="s">
        <v>161</v>
      </c>
    </row>
    <row r="4" spans="2:8">
      <c r="B4" s="134" t="s">
        <v>162</v>
      </c>
      <c r="C4" s="135" t="s">
        <v>163</v>
      </c>
      <c r="E4" s="134" t="s">
        <v>162</v>
      </c>
      <c r="F4" s="135" t="s">
        <v>164</v>
      </c>
      <c r="H4" s="59" t="s">
        <v>165</v>
      </c>
    </row>
    <row r="5" spans="2:8">
      <c r="B5" s="134" t="s">
        <v>166</v>
      </c>
      <c r="C5" s="135" t="s">
        <v>167</v>
      </c>
      <c r="E5" s="134" t="s">
        <v>166</v>
      </c>
      <c r="F5" s="135" t="s">
        <v>168</v>
      </c>
      <c r="H5" s="59" t="s">
        <v>169</v>
      </c>
    </row>
    <row r="6" spans="2:8">
      <c r="B6" s="134" t="s">
        <v>170</v>
      </c>
      <c r="C6" s="135" t="s">
        <v>171</v>
      </c>
      <c r="E6" s="134" t="s">
        <v>172</v>
      </c>
      <c r="F6" s="135" t="s">
        <v>173</v>
      </c>
      <c r="H6" s="59" t="s">
        <v>174</v>
      </c>
    </row>
    <row r="7" spans="2:8">
      <c r="B7" s="134" t="s">
        <v>175</v>
      </c>
      <c r="C7" s="135" t="s">
        <v>176</v>
      </c>
      <c r="E7" s="134" t="s">
        <v>177</v>
      </c>
      <c r="F7" s="135" t="s">
        <v>178</v>
      </c>
      <c r="H7" s="59" t="s">
        <v>179</v>
      </c>
    </row>
    <row r="8" spans="2:8">
      <c r="B8" s="134" t="s">
        <v>172</v>
      </c>
      <c r="C8" s="135" t="s">
        <v>180</v>
      </c>
      <c r="E8" s="134" t="s">
        <v>181</v>
      </c>
      <c r="F8" s="135" t="s">
        <v>182</v>
      </c>
      <c r="H8" s="59" t="s">
        <v>183</v>
      </c>
    </row>
    <row r="9" spans="2:8">
      <c r="B9" s="134" t="s">
        <v>177</v>
      </c>
      <c r="C9" s="135" t="s">
        <v>184</v>
      </c>
      <c r="E9" s="134" t="s">
        <v>185</v>
      </c>
      <c r="F9" s="135" t="s">
        <v>186</v>
      </c>
      <c r="H9" s="59" t="s">
        <v>187</v>
      </c>
    </row>
    <row r="10" spans="2:8">
      <c r="B10" s="134" t="s">
        <v>181</v>
      </c>
      <c r="C10" s="135" t="s">
        <v>188</v>
      </c>
      <c r="E10" s="134">
        <v>10</v>
      </c>
      <c r="F10" s="135" t="s">
        <v>189</v>
      </c>
      <c r="H10" s="59" t="s">
        <v>190</v>
      </c>
    </row>
    <row r="11" spans="2:8">
      <c r="B11" s="134" t="s">
        <v>185</v>
      </c>
      <c r="C11" s="135" t="s">
        <v>191</v>
      </c>
      <c r="E11" s="134">
        <v>11</v>
      </c>
      <c r="F11" s="135" t="s">
        <v>192</v>
      </c>
      <c r="H11" s="59" t="s">
        <v>193</v>
      </c>
    </row>
    <row r="12" spans="2:8">
      <c r="B12" s="134" t="s">
        <v>194</v>
      </c>
      <c r="C12" s="135" t="s">
        <v>195</v>
      </c>
      <c r="E12" s="134">
        <v>12</v>
      </c>
      <c r="F12" s="135" t="s">
        <v>196</v>
      </c>
      <c r="H12" s="59" t="s">
        <v>197</v>
      </c>
    </row>
    <row r="13" spans="2:8">
      <c r="B13" s="134" t="s">
        <v>198</v>
      </c>
      <c r="C13" s="135" t="s">
        <v>199</v>
      </c>
      <c r="E13" s="136">
        <v>13</v>
      </c>
      <c r="F13" s="137" t="s">
        <v>200</v>
      </c>
      <c r="H13" s="59" t="s">
        <v>201</v>
      </c>
    </row>
    <row r="14" spans="2:8">
      <c r="B14" s="134" t="s">
        <v>202</v>
      </c>
      <c r="C14" s="135" t="s">
        <v>203</v>
      </c>
      <c r="E14" s="134">
        <v>14</v>
      </c>
      <c r="F14" s="135" t="s">
        <v>204</v>
      </c>
      <c r="H14" s="59" t="s">
        <v>205</v>
      </c>
    </row>
    <row r="15" spans="2:8">
      <c r="B15" s="134" t="s">
        <v>206</v>
      </c>
      <c r="C15" s="135" t="s">
        <v>207</v>
      </c>
      <c r="E15" s="134">
        <v>15</v>
      </c>
      <c r="F15" s="135" t="s">
        <v>208</v>
      </c>
      <c r="H15" s="59" t="s">
        <v>209</v>
      </c>
    </row>
    <row r="16" spans="2:8">
      <c r="B16" s="134" t="s">
        <v>210</v>
      </c>
      <c r="C16" s="135" t="s">
        <v>211</v>
      </c>
      <c r="E16" s="134">
        <v>16</v>
      </c>
      <c r="F16" s="135" t="s">
        <v>212</v>
      </c>
      <c r="H16" s="59" t="s">
        <v>213</v>
      </c>
    </row>
    <row r="17" spans="2:8">
      <c r="B17" s="134" t="s">
        <v>214</v>
      </c>
      <c r="C17" s="135" t="s">
        <v>215</v>
      </c>
      <c r="E17" s="134">
        <v>17</v>
      </c>
      <c r="F17" s="135" t="s">
        <v>216</v>
      </c>
      <c r="H17" s="59" t="s">
        <v>217</v>
      </c>
    </row>
    <row r="18" spans="2:8">
      <c r="B18" s="134" t="s">
        <v>218</v>
      </c>
      <c r="C18" s="135" t="s">
        <v>219</v>
      </c>
      <c r="E18" s="134">
        <v>18</v>
      </c>
      <c r="F18" s="135" t="s">
        <v>220</v>
      </c>
      <c r="H18" s="59" t="s">
        <v>221</v>
      </c>
    </row>
    <row r="19" spans="2:8">
      <c r="B19" s="134" t="s">
        <v>222</v>
      </c>
      <c r="C19" s="135" t="s">
        <v>223</v>
      </c>
      <c r="E19" s="134">
        <v>19</v>
      </c>
      <c r="F19" s="135" t="s">
        <v>224</v>
      </c>
      <c r="H19" s="59" t="s">
        <v>225</v>
      </c>
    </row>
    <row r="20" spans="2:8">
      <c r="B20" s="134" t="s">
        <v>226</v>
      </c>
      <c r="C20" s="135" t="s">
        <v>227</v>
      </c>
      <c r="E20" s="134">
        <v>20</v>
      </c>
      <c r="F20" s="135" t="s">
        <v>228</v>
      </c>
      <c r="H20" s="59" t="s">
        <v>229</v>
      </c>
    </row>
    <row r="21" spans="2:8">
      <c r="B21" s="134" t="s">
        <v>230</v>
      </c>
      <c r="C21" s="135" t="s">
        <v>231</v>
      </c>
      <c r="E21" s="134">
        <v>21</v>
      </c>
      <c r="F21" s="135" t="s">
        <v>232</v>
      </c>
      <c r="H21" s="59" t="s">
        <v>233</v>
      </c>
    </row>
    <row r="22" spans="2:8">
      <c r="B22" s="134" t="s">
        <v>234</v>
      </c>
      <c r="C22" s="135" t="s">
        <v>235</v>
      </c>
      <c r="E22" s="134">
        <v>22</v>
      </c>
      <c r="F22" s="135" t="s">
        <v>236</v>
      </c>
      <c r="H22" s="59" t="s">
        <v>237</v>
      </c>
    </row>
    <row r="23" spans="2:8">
      <c r="B23" s="134" t="s">
        <v>238</v>
      </c>
      <c r="C23" s="135" t="s">
        <v>239</v>
      </c>
      <c r="E23" s="134">
        <v>23</v>
      </c>
      <c r="F23" s="135" t="s">
        <v>240</v>
      </c>
      <c r="H23" s="59" t="s">
        <v>241</v>
      </c>
    </row>
    <row r="24" spans="2:8">
      <c r="B24" s="134" t="s">
        <v>242</v>
      </c>
      <c r="C24" s="135" t="s">
        <v>243</v>
      </c>
      <c r="E24" s="134">
        <v>24</v>
      </c>
      <c r="F24" s="135" t="s">
        <v>244</v>
      </c>
      <c r="H24" s="59" t="s">
        <v>245</v>
      </c>
    </row>
    <row r="25" spans="2:8">
      <c r="B25" s="134" t="s">
        <v>246</v>
      </c>
      <c r="C25" s="135" t="s">
        <v>247</v>
      </c>
      <c r="E25" s="134">
        <v>25</v>
      </c>
      <c r="F25" s="135" t="s">
        <v>248</v>
      </c>
      <c r="H25" s="59" t="s">
        <v>249</v>
      </c>
    </row>
    <row r="26" spans="2:8" ht="14.5" thickBot="1">
      <c r="B26" s="138" t="s">
        <v>250</v>
      </c>
      <c r="C26" s="139" t="s">
        <v>251</v>
      </c>
      <c r="E26" s="134">
        <v>26</v>
      </c>
      <c r="F26" s="135" t="s">
        <v>252</v>
      </c>
      <c r="H26" s="59" t="s">
        <v>253</v>
      </c>
    </row>
    <row r="27" spans="2:8">
      <c r="E27" s="134">
        <v>27</v>
      </c>
      <c r="F27" s="135" t="s">
        <v>254</v>
      </c>
      <c r="H27" s="59" t="s">
        <v>255</v>
      </c>
    </row>
    <row r="28" spans="2:8" ht="14.5" thickBot="1">
      <c r="B28" s="201" t="s">
        <v>105</v>
      </c>
      <c r="C28" s="201"/>
      <c r="E28" s="134">
        <v>28</v>
      </c>
      <c r="F28" s="135" t="s">
        <v>256</v>
      </c>
      <c r="H28" s="59" t="s">
        <v>257</v>
      </c>
    </row>
    <row r="29" spans="2:8">
      <c r="B29" s="132" t="s">
        <v>158</v>
      </c>
      <c r="C29" s="133" t="s">
        <v>258</v>
      </c>
      <c r="E29" s="134">
        <v>29</v>
      </c>
      <c r="F29" s="135" t="s">
        <v>259</v>
      </c>
      <c r="H29" s="59" t="s">
        <v>260</v>
      </c>
    </row>
    <row r="30" spans="2:8">
      <c r="B30" s="134" t="s">
        <v>162</v>
      </c>
      <c r="C30" s="135" t="s">
        <v>261</v>
      </c>
      <c r="E30" s="140">
        <v>30</v>
      </c>
      <c r="F30" s="141" t="s">
        <v>262</v>
      </c>
    </row>
    <row r="31" spans="2:8" ht="14.5" thickBot="1">
      <c r="B31" s="138" t="s">
        <v>263</v>
      </c>
      <c r="C31" s="139" t="s">
        <v>264</v>
      </c>
      <c r="E31" s="140">
        <v>31</v>
      </c>
      <c r="F31" s="141" t="s">
        <v>265</v>
      </c>
    </row>
    <row r="32" spans="2:8">
      <c r="B32" s="59"/>
      <c r="E32" s="140">
        <v>32</v>
      </c>
      <c r="F32" s="141" t="s">
        <v>266</v>
      </c>
    </row>
    <row r="33" spans="2:8" ht="14.5" thickBot="1">
      <c r="B33" s="201" t="s">
        <v>107</v>
      </c>
      <c r="C33" s="201"/>
      <c r="E33" s="140">
        <v>33</v>
      </c>
      <c r="F33" s="141" t="s">
        <v>267</v>
      </c>
    </row>
    <row r="34" spans="2:8" ht="14.5" thickBot="1">
      <c r="B34" s="132" t="s">
        <v>158</v>
      </c>
      <c r="C34" s="133" t="s">
        <v>268</v>
      </c>
      <c r="E34" s="142">
        <v>99</v>
      </c>
      <c r="F34" s="143" t="s">
        <v>269</v>
      </c>
      <c r="H34" s="59" t="s">
        <v>270</v>
      </c>
    </row>
    <row r="35" spans="2:8" ht="14.5" thickBot="1">
      <c r="B35" s="138" t="s">
        <v>263</v>
      </c>
      <c r="C35" s="139" t="s">
        <v>264</v>
      </c>
    </row>
  </sheetData>
  <mergeCells count="4">
    <mergeCell ref="B2:C2"/>
    <mergeCell ref="E2:F2"/>
    <mergeCell ref="B28:C28"/>
    <mergeCell ref="B33:C33"/>
  </mergeCells>
  <pageMargins left="0.74803149606299213" right="0.74803149606299213" top="0.98425196850393704" bottom="0.98425196850393704" header="0.51181102362204722" footer="0.51181102362204722"/>
  <pageSetup orientation="portrait" r:id="rId1"/>
  <headerFooter alignWithMargins="0">
    <oddHeader>&amp;A</oddHeader>
    <oddFooter>Página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3C0CB-1507-47FC-8F6C-BFDF3196C024}">
  <dimension ref="A2:M67"/>
  <sheetViews>
    <sheetView tabSelected="1" zoomScale="80" zoomScaleNormal="115" workbookViewId="0">
      <pane xSplit="5" ySplit="2" topLeftCell="F3" activePane="bottomRight" state="frozen"/>
      <selection pane="topRight" activeCell="F1" sqref="F1"/>
      <selection pane="bottomLeft" activeCell="A2" sqref="A2"/>
      <selection pane="bottomRight" activeCell="E1" sqref="A1:XFD1"/>
    </sheetView>
  </sheetViews>
  <sheetFormatPr defaultColWidth="26.26953125" defaultRowHeight="12.5"/>
  <cols>
    <col min="1" max="1" width="4" bestFit="1" customWidth="1"/>
    <col min="3" max="3" width="4.81640625" bestFit="1" customWidth="1"/>
    <col min="4" max="4" width="19.26953125" customWidth="1"/>
    <col min="5" max="5" width="41" customWidth="1"/>
    <col min="6" max="6" width="13.81640625" bestFit="1" customWidth="1"/>
    <col min="7" max="7" width="21.453125" bestFit="1" customWidth="1"/>
    <col min="8" max="8" width="99.54296875" bestFit="1" customWidth="1"/>
    <col min="9" max="9" width="44.453125" bestFit="1" customWidth="1"/>
    <col min="11" max="11" width="10.26953125" customWidth="1"/>
    <col min="12" max="12" width="17.453125" customWidth="1"/>
    <col min="13" max="13" width="16.81640625" customWidth="1"/>
  </cols>
  <sheetData>
    <row r="2" spans="1:13" ht="13" thickBot="1">
      <c r="A2" t="s">
        <v>271</v>
      </c>
      <c r="B2" t="s">
        <v>272</v>
      </c>
      <c r="C2" s="41" t="s">
        <v>11</v>
      </c>
      <c r="D2" s="3" t="s">
        <v>272</v>
      </c>
      <c r="E2" s="3" t="s">
        <v>273</v>
      </c>
      <c r="F2" s="3" t="s">
        <v>274</v>
      </c>
      <c r="G2" s="3" t="s">
        <v>275</v>
      </c>
      <c r="H2" s="3" t="s">
        <v>276</v>
      </c>
      <c r="I2" s="3" t="s">
        <v>277</v>
      </c>
      <c r="J2" s="7" t="s">
        <v>278</v>
      </c>
      <c r="K2" s="7" t="s">
        <v>279</v>
      </c>
      <c r="L2" s="7" t="s">
        <v>280</v>
      </c>
      <c r="M2" s="7" t="s">
        <v>281</v>
      </c>
    </row>
    <row r="3" spans="1:13" ht="69">
      <c r="A3" s="24">
        <v>1</v>
      </c>
      <c r="B3" s="25" t="s">
        <v>12</v>
      </c>
      <c r="C3" s="36" t="s">
        <v>16</v>
      </c>
      <c r="D3" s="12" t="s">
        <v>12</v>
      </c>
      <c r="E3" s="8" t="s">
        <v>15</v>
      </c>
      <c r="F3" s="2"/>
      <c r="G3" s="2"/>
      <c r="H3" s="2" t="s">
        <v>282</v>
      </c>
      <c r="I3" s="1"/>
      <c r="J3" s="6" t="s">
        <v>283</v>
      </c>
      <c r="L3" t="s">
        <v>284</v>
      </c>
      <c r="M3" t="s">
        <v>285</v>
      </c>
    </row>
    <row r="4" spans="1:13" ht="14.5">
      <c r="A4" s="26">
        <v>2</v>
      </c>
      <c r="B4" s="27" t="s">
        <v>17</v>
      </c>
      <c r="C4" s="37" t="s">
        <v>16</v>
      </c>
      <c r="D4" s="13" t="s">
        <v>17</v>
      </c>
      <c r="E4" s="9" t="s">
        <v>18</v>
      </c>
      <c r="F4" s="2" t="s">
        <v>286</v>
      </c>
      <c r="G4" s="2" t="s">
        <v>287</v>
      </c>
      <c r="H4" s="2" t="s">
        <v>288</v>
      </c>
      <c r="I4" s="1" t="s">
        <v>289</v>
      </c>
      <c r="J4" s="5" t="s">
        <v>290</v>
      </c>
      <c r="L4" t="s">
        <v>291</v>
      </c>
      <c r="M4" s="56" t="s">
        <v>292</v>
      </c>
    </row>
    <row r="5" spans="1:13" ht="14.5">
      <c r="A5" s="26">
        <v>3</v>
      </c>
      <c r="B5" s="27" t="s">
        <v>19</v>
      </c>
      <c r="C5" s="37" t="s">
        <v>16</v>
      </c>
      <c r="D5" s="13" t="s">
        <v>19</v>
      </c>
      <c r="E5" s="9" t="s">
        <v>20</v>
      </c>
      <c r="F5" s="2" t="s">
        <v>286</v>
      </c>
      <c r="G5" s="2" t="s">
        <v>287</v>
      </c>
      <c r="H5" s="2" t="s">
        <v>288</v>
      </c>
      <c r="I5" s="1" t="s">
        <v>289</v>
      </c>
      <c r="J5" s="5" t="s">
        <v>290</v>
      </c>
      <c r="L5" t="s">
        <v>291</v>
      </c>
      <c r="M5" s="56" t="s">
        <v>292</v>
      </c>
    </row>
    <row r="6" spans="1:13" ht="14.5">
      <c r="A6" s="26">
        <v>4</v>
      </c>
      <c r="B6" s="27" t="s">
        <v>21</v>
      </c>
      <c r="C6" s="37" t="s">
        <v>16</v>
      </c>
      <c r="D6" s="13" t="s">
        <v>21</v>
      </c>
      <c r="E6" s="9" t="s">
        <v>22</v>
      </c>
      <c r="F6" s="2" t="s">
        <v>286</v>
      </c>
      <c r="G6" s="2" t="s">
        <v>287</v>
      </c>
      <c r="H6" s="2" t="s">
        <v>288</v>
      </c>
      <c r="I6" s="1" t="s">
        <v>289</v>
      </c>
      <c r="J6" s="5" t="s">
        <v>290</v>
      </c>
      <c r="L6" t="s">
        <v>291</v>
      </c>
      <c r="M6" s="56" t="s">
        <v>292</v>
      </c>
    </row>
    <row r="7" spans="1:13" ht="14.5">
      <c r="A7" s="42">
        <v>5</v>
      </c>
      <c r="B7" s="43" t="s">
        <v>23</v>
      </c>
      <c r="C7" s="44" t="s">
        <v>25</v>
      </c>
      <c r="D7" s="45" t="s">
        <v>23</v>
      </c>
      <c r="E7" s="46" t="s">
        <v>24</v>
      </c>
      <c r="F7" s="47" t="s">
        <v>293</v>
      </c>
      <c r="G7" s="47" t="s">
        <v>294</v>
      </c>
      <c r="H7" s="47" t="s">
        <v>295</v>
      </c>
      <c r="I7" s="48" t="s">
        <v>296</v>
      </c>
      <c r="J7" s="49" t="s">
        <v>297</v>
      </c>
      <c r="L7" t="s">
        <v>298</v>
      </c>
      <c r="M7" s="56" t="s">
        <v>292</v>
      </c>
    </row>
    <row r="8" spans="1:13" ht="34.5">
      <c r="A8" s="26">
        <v>6</v>
      </c>
      <c r="B8" s="27" t="s">
        <v>26</v>
      </c>
      <c r="C8" s="37" t="s">
        <v>16</v>
      </c>
      <c r="D8" s="13" t="s">
        <v>26</v>
      </c>
      <c r="E8" s="9" t="s">
        <v>28</v>
      </c>
      <c r="F8" s="2" t="s">
        <v>293</v>
      </c>
      <c r="G8" s="2" t="s">
        <v>294</v>
      </c>
      <c r="H8" s="2" t="s">
        <v>295</v>
      </c>
      <c r="I8" s="1" t="s">
        <v>299</v>
      </c>
      <c r="J8" s="5" t="s">
        <v>290</v>
      </c>
      <c r="L8" t="s">
        <v>291</v>
      </c>
      <c r="M8" s="56" t="s">
        <v>292</v>
      </c>
    </row>
    <row r="9" spans="1:13" ht="69">
      <c r="A9" s="28">
        <v>7</v>
      </c>
      <c r="B9" s="27" t="s">
        <v>29</v>
      </c>
      <c r="C9" s="38" t="s">
        <v>16</v>
      </c>
      <c r="D9" s="14" t="s">
        <v>29</v>
      </c>
      <c r="E9" s="10" t="s">
        <v>30</v>
      </c>
      <c r="F9" s="2" t="s">
        <v>293</v>
      </c>
      <c r="G9" s="2" t="s">
        <v>294</v>
      </c>
      <c r="H9" s="2" t="s">
        <v>295</v>
      </c>
      <c r="I9" s="1" t="s">
        <v>300</v>
      </c>
      <c r="J9" s="5" t="s">
        <v>290</v>
      </c>
      <c r="L9" t="s">
        <v>291</v>
      </c>
      <c r="M9" s="56" t="s">
        <v>292</v>
      </c>
    </row>
    <row r="10" spans="1:13" ht="23">
      <c r="A10" s="26">
        <v>8</v>
      </c>
      <c r="B10" s="29" t="s">
        <v>31</v>
      </c>
      <c r="C10" s="37" t="s">
        <v>16</v>
      </c>
      <c r="D10" s="15" t="s">
        <v>31</v>
      </c>
      <c r="E10" s="19" t="s">
        <v>32</v>
      </c>
      <c r="F10" s="2" t="s">
        <v>293</v>
      </c>
      <c r="G10" s="2" t="s">
        <v>294</v>
      </c>
      <c r="H10" s="2" t="s">
        <v>295</v>
      </c>
      <c r="I10" s="1" t="s">
        <v>301</v>
      </c>
      <c r="J10" s="6" t="s">
        <v>302</v>
      </c>
      <c r="L10" t="s">
        <v>284</v>
      </c>
      <c r="M10" t="s">
        <v>285</v>
      </c>
    </row>
    <row r="11" spans="1:13" ht="23">
      <c r="A11" s="26">
        <v>9</v>
      </c>
      <c r="B11" s="29" t="s">
        <v>33</v>
      </c>
      <c r="C11" s="37" t="s">
        <v>16</v>
      </c>
      <c r="D11" s="15" t="s">
        <v>33</v>
      </c>
      <c r="E11" s="19" t="s">
        <v>34</v>
      </c>
      <c r="F11" s="2" t="s">
        <v>293</v>
      </c>
      <c r="G11" s="2" t="s">
        <v>294</v>
      </c>
      <c r="H11" s="2" t="s">
        <v>295</v>
      </c>
      <c r="I11" s="1" t="s">
        <v>301</v>
      </c>
      <c r="J11" s="6" t="s">
        <v>303</v>
      </c>
      <c r="L11" t="s">
        <v>298</v>
      </c>
      <c r="M11" t="s">
        <v>285</v>
      </c>
    </row>
    <row r="12" spans="1:13" ht="14.5">
      <c r="A12" s="26">
        <v>10</v>
      </c>
      <c r="B12" s="27" t="s">
        <v>35</v>
      </c>
      <c r="C12" s="37" t="s">
        <v>16</v>
      </c>
      <c r="D12" s="13" t="s">
        <v>35</v>
      </c>
      <c r="E12" s="9" t="s">
        <v>36</v>
      </c>
      <c r="F12" s="2" t="s">
        <v>293</v>
      </c>
      <c r="G12" s="2" t="s">
        <v>294</v>
      </c>
      <c r="H12" s="2" t="s">
        <v>295</v>
      </c>
      <c r="I12" s="1" t="s">
        <v>304</v>
      </c>
      <c r="J12" s="5" t="s">
        <v>290</v>
      </c>
      <c r="L12" t="s">
        <v>291</v>
      </c>
      <c r="M12" s="56" t="s">
        <v>292</v>
      </c>
    </row>
    <row r="13" spans="1:13" ht="14.5">
      <c r="A13" s="26">
        <v>11</v>
      </c>
      <c r="B13" s="27" t="s">
        <v>37</v>
      </c>
      <c r="C13" s="37" t="s">
        <v>16</v>
      </c>
      <c r="D13" s="13" t="s">
        <v>37</v>
      </c>
      <c r="E13" s="9" t="s">
        <v>40</v>
      </c>
      <c r="F13" s="2" t="s">
        <v>293</v>
      </c>
      <c r="G13" s="2" t="s">
        <v>294</v>
      </c>
      <c r="H13" s="2" t="s">
        <v>295</v>
      </c>
      <c r="I13" s="1" t="s">
        <v>305</v>
      </c>
      <c r="J13" s="6" t="s">
        <v>306</v>
      </c>
      <c r="L13" t="s">
        <v>298</v>
      </c>
      <c r="M13" s="56" t="s">
        <v>292</v>
      </c>
    </row>
    <row r="14" spans="1:13" ht="14.5">
      <c r="A14" s="26">
        <v>12</v>
      </c>
      <c r="B14" s="27" t="s">
        <v>41</v>
      </c>
      <c r="C14" s="37" t="s">
        <v>16</v>
      </c>
      <c r="D14" s="13" t="s">
        <v>41</v>
      </c>
      <c r="E14" s="9" t="s">
        <v>43</v>
      </c>
      <c r="F14" s="2" t="s">
        <v>286</v>
      </c>
      <c r="G14" s="2" t="s">
        <v>287</v>
      </c>
      <c r="H14" s="2" t="s">
        <v>288</v>
      </c>
      <c r="I14" s="1" t="s">
        <v>307</v>
      </c>
      <c r="J14" s="6" t="s">
        <v>306</v>
      </c>
      <c r="L14" t="s">
        <v>298</v>
      </c>
      <c r="M14" t="s">
        <v>285</v>
      </c>
    </row>
    <row r="15" spans="1:13" ht="23">
      <c r="A15" s="26">
        <v>13</v>
      </c>
      <c r="B15" s="27" t="s">
        <v>44</v>
      </c>
      <c r="C15" s="37" t="s">
        <v>16</v>
      </c>
      <c r="D15" s="13" t="s">
        <v>44</v>
      </c>
      <c r="E15" s="9" t="s">
        <v>46</v>
      </c>
      <c r="F15" s="2" t="s">
        <v>293</v>
      </c>
      <c r="G15" s="2" t="s">
        <v>294</v>
      </c>
      <c r="H15" s="2" t="s">
        <v>295</v>
      </c>
      <c r="I15" s="1" t="s">
        <v>308</v>
      </c>
      <c r="J15" s="5" t="s">
        <v>290</v>
      </c>
      <c r="L15" t="s">
        <v>291</v>
      </c>
      <c r="M15" s="56" t="s">
        <v>292</v>
      </c>
    </row>
    <row r="16" spans="1:13" ht="23">
      <c r="A16" s="26">
        <v>14</v>
      </c>
      <c r="B16" s="27" t="s">
        <v>47</v>
      </c>
      <c r="C16" s="37" t="s">
        <v>16</v>
      </c>
      <c r="D16" s="13" t="s">
        <v>47</v>
      </c>
      <c r="E16" s="9" t="s">
        <v>48</v>
      </c>
      <c r="F16" s="2" t="s">
        <v>293</v>
      </c>
      <c r="G16" s="2" t="s">
        <v>294</v>
      </c>
      <c r="H16" s="2" t="s">
        <v>295</v>
      </c>
      <c r="I16" s="1" t="s">
        <v>309</v>
      </c>
      <c r="J16" s="6" t="s">
        <v>306</v>
      </c>
      <c r="L16" t="s">
        <v>298</v>
      </c>
      <c r="M16" t="s">
        <v>285</v>
      </c>
    </row>
    <row r="17" spans="1:13" ht="23">
      <c r="A17" s="26">
        <v>15</v>
      </c>
      <c r="B17" s="29" t="s">
        <v>49</v>
      </c>
      <c r="C17" s="37" t="s">
        <v>16</v>
      </c>
      <c r="D17" s="15" t="s">
        <v>49</v>
      </c>
      <c r="E17" s="20" t="s">
        <v>50</v>
      </c>
      <c r="F17" s="2" t="s">
        <v>293</v>
      </c>
      <c r="G17" s="2" t="s">
        <v>294</v>
      </c>
      <c r="H17" s="2" t="s">
        <v>295</v>
      </c>
      <c r="I17" s="1" t="s">
        <v>300</v>
      </c>
      <c r="J17" s="6" t="s">
        <v>306</v>
      </c>
      <c r="L17" t="s">
        <v>298</v>
      </c>
      <c r="M17" t="s">
        <v>285</v>
      </c>
    </row>
    <row r="18" spans="1:13" ht="14.5">
      <c r="A18" s="26">
        <v>16</v>
      </c>
      <c r="B18" s="29" t="s">
        <v>51</v>
      </c>
      <c r="C18" s="37" t="s">
        <v>16</v>
      </c>
      <c r="D18" s="15" t="s">
        <v>51</v>
      </c>
      <c r="E18" s="20" t="s">
        <v>53</v>
      </c>
      <c r="F18" s="2" t="s">
        <v>293</v>
      </c>
      <c r="G18" s="2" t="s">
        <v>294</v>
      </c>
      <c r="H18" s="2" t="s">
        <v>295</v>
      </c>
      <c r="I18" s="1" t="s">
        <v>310</v>
      </c>
      <c r="J18" s="5" t="s">
        <v>290</v>
      </c>
      <c r="L18" t="s">
        <v>291</v>
      </c>
      <c r="M18" t="s">
        <v>311</v>
      </c>
    </row>
    <row r="19" spans="1:13" ht="14.5">
      <c r="A19" s="26">
        <v>17</v>
      </c>
      <c r="B19" s="27" t="s">
        <v>54</v>
      </c>
      <c r="C19" s="37" t="s">
        <v>16</v>
      </c>
      <c r="D19" s="13" t="s">
        <v>54</v>
      </c>
      <c r="E19" s="9" t="s">
        <v>55</v>
      </c>
      <c r="F19" s="2" t="s">
        <v>293</v>
      </c>
      <c r="G19" s="2" t="s">
        <v>294</v>
      </c>
      <c r="H19" s="2" t="s">
        <v>295</v>
      </c>
      <c r="I19" s="1" t="s">
        <v>312</v>
      </c>
      <c r="J19" s="6" t="s">
        <v>306</v>
      </c>
      <c r="L19" t="s">
        <v>284</v>
      </c>
      <c r="M19" t="s">
        <v>285</v>
      </c>
    </row>
    <row r="20" spans="1:13" ht="14.5">
      <c r="A20" s="26">
        <v>18</v>
      </c>
      <c r="B20" s="27" t="s">
        <v>56</v>
      </c>
      <c r="C20" s="37" t="s">
        <v>16</v>
      </c>
      <c r="D20" s="13" t="s">
        <v>56</v>
      </c>
      <c r="E20" s="9" t="s">
        <v>58</v>
      </c>
      <c r="F20" s="2"/>
      <c r="G20" s="2"/>
      <c r="H20" s="2" t="s">
        <v>313</v>
      </c>
      <c r="I20" s="1"/>
      <c r="J20" s="6" t="s">
        <v>306</v>
      </c>
      <c r="L20" t="s">
        <v>284</v>
      </c>
      <c r="M20" t="s">
        <v>285</v>
      </c>
    </row>
    <row r="21" spans="1:13" ht="14.5">
      <c r="A21" s="26">
        <v>19</v>
      </c>
      <c r="B21" s="27" t="s">
        <v>59</v>
      </c>
      <c r="C21" s="37" t="s">
        <v>16</v>
      </c>
      <c r="D21" s="13" t="s">
        <v>59</v>
      </c>
      <c r="E21" s="9" t="s">
        <v>61</v>
      </c>
      <c r="F21" s="2"/>
      <c r="G21" s="2"/>
      <c r="H21" s="2" t="s">
        <v>313</v>
      </c>
      <c r="I21" s="1"/>
      <c r="J21" s="6" t="s">
        <v>306</v>
      </c>
      <c r="L21" t="s">
        <v>284</v>
      </c>
      <c r="M21" t="s">
        <v>285</v>
      </c>
    </row>
    <row r="22" spans="1:13" ht="14.5">
      <c r="A22" s="26">
        <v>20</v>
      </c>
      <c r="B22" s="27" t="s">
        <v>62</v>
      </c>
      <c r="C22" s="37" t="s">
        <v>16</v>
      </c>
      <c r="D22" s="13" t="s">
        <v>62</v>
      </c>
      <c r="E22" s="9" t="s">
        <v>63</v>
      </c>
      <c r="F22" s="2"/>
      <c r="G22" s="2"/>
      <c r="H22" s="2" t="s">
        <v>314</v>
      </c>
      <c r="I22" s="1"/>
      <c r="J22" s="6" t="s">
        <v>283</v>
      </c>
      <c r="L22" t="s">
        <v>284</v>
      </c>
      <c r="M22" t="s">
        <v>285</v>
      </c>
    </row>
    <row r="23" spans="1:13" ht="14.5">
      <c r="A23" s="26">
        <v>21</v>
      </c>
      <c r="B23" s="27" t="s">
        <v>64</v>
      </c>
      <c r="C23" s="37" t="s">
        <v>16</v>
      </c>
      <c r="D23" s="13" t="s">
        <v>64</v>
      </c>
      <c r="E23" s="9"/>
      <c r="F23" s="2"/>
      <c r="G23" s="2"/>
      <c r="H23" s="2" t="s">
        <v>314</v>
      </c>
      <c r="I23" s="1"/>
      <c r="J23" s="4" t="s">
        <v>315</v>
      </c>
      <c r="L23" t="s">
        <v>298</v>
      </c>
      <c r="M23" t="s">
        <v>285</v>
      </c>
    </row>
    <row r="24" spans="1:13" ht="14.5">
      <c r="A24" s="50">
        <v>22</v>
      </c>
      <c r="B24" s="51" t="s">
        <v>65</v>
      </c>
      <c r="C24" s="44" t="s">
        <v>25</v>
      </c>
      <c r="D24" s="52" t="s">
        <v>65</v>
      </c>
      <c r="E24" s="53"/>
      <c r="F24" s="47"/>
      <c r="G24" s="47"/>
      <c r="H24" s="47"/>
      <c r="I24" s="48"/>
      <c r="J24" s="4" t="s">
        <v>315</v>
      </c>
      <c r="L24" t="s">
        <v>298</v>
      </c>
      <c r="M24" t="s">
        <v>311</v>
      </c>
    </row>
    <row r="25" spans="1:13" ht="14.5">
      <c r="A25" s="50">
        <v>23</v>
      </c>
      <c r="B25" s="51" t="s">
        <v>66</v>
      </c>
      <c r="C25" s="44" t="s">
        <v>25</v>
      </c>
      <c r="D25" s="52" t="s">
        <v>66</v>
      </c>
      <c r="E25" s="53" t="s">
        <v>68</v>
      </c>
      <c r="F25" s="47"/>
      <c r="G25" s="47"/>
      <c r="H25" s="47"/>
      <c r="I25" s="48"/>
      <c r="J25" s="4" t="s">
        <v>315</v>
      </c>
      <c r="L25" t="s">
        <v>298</v>
      </c>
      <c r="M25" t="s">
        <v>311</v>
      </c>
    </row>
    <row r="26" spans="1:13" ht="14.5">
      <c r="A26" s="50">
        <v>24</v>
      </c>
      <c r="B26" s="51" t="s">
        <v>69</v>
      </c>
      <c r="C26" s="44" t="s">
        <v>25</v>
      </c>
      <c r="D26" s="52" t="s">
        <v>69</v>
      </c>
      <c r="E26" s="53" t="s">
        <v>68</v>
      </c>
      <c r="F26" s="47"/>
      <c r="G26" s="47"/>
      <c r="H26" s="47"/>
      <c r="I26" s="48"/>
      <c r="J26" s="4" t="s">
        <v>315</v>
      </c>
      <c r="L26" t="s">
        <v>298</v>
      </c>
      <c r="M26" t="s">
        <v>311</v>
      </c>
    </row>
    <row r="27" spans="1:13" ht="14.5">
      <c r="A27" s="26">
        <v>25</v>
      </c>
      <c r="B27" s="27" t="s">
        <v>70</v>
      </c>
      <c r="C27" s="37" t="s">
        <v>16</v>
      </c>
      <c r="D27" s="13" t="s">
        <v>70</v>
      </c>
      <c r="E27" s="9" t="s">
        <v>68</v>
      </c>
      <c r="F27" s="2" t="s">
        <v>293</v>
      </c>
      <c r="G27" s="2" t="s">
        <v>294</v>
      </c>
      <c r="H27" s="2" t="s">
        <v>295</v>
      </c>
      <c r="I27" s="1" t="s">
        <v>316</v>
      </c>
      <c r="J27" s="5" t="s">
        <v>290</v>
      </c>
      <c r="L27" t="s">
        <v>291</v>
      </c>
      <c r="M27" s="56" t="s">
        <v>292</v>
      </c>
    </row>
    <row r="28" spans="1:13" ht="14.5">
      <c r="A28" s="26">
        <v>26</v>
      </c>
      <c r="B28" s="27" t="s">
        <v>71</v>
      </c>
      <c r="C28" s="37" t="s">
        <v>16</v>
      </c>
      <c r="D28" s="13" t="s">
        <v>71</v>
      </c>
      <c r="E28" s="9" t="s">
        <v>68</v>
      </c>
      <c r="F28" s="2" t="s">
        <v>293</v>
      </c>
      <c r="G28" s="2" t="s">
        <v>294</v>
      </c>
      <c r="H28" s="2" t="s">
        <v>295</v>
      </c>
      <c r="I28" s="1" t="s">
        <v>317</v>
      </c>
      <c r="J28" s="5" t="s">
        <v>290</v>
      </c>
      <c r="L28" t="s">
        <v>291</v>
      </c>
      <c r="M28" s="56" t="s">
        <v>292</v>
      </c>
    </row>
    <row r="29" spans="1:13" ht="14.5">
      <c r="A29" s="26">
        <v>27</v>
      </c>
      <c r="B29" s="27" t="s">
        <v>72</v>
      </c>
      <c r="C29" s="37" t="s">
        <v>16</v>
      </c>
      <c r="D29" s="13" t="s">
        <v>72</v>
      </c>
      <c r="E29" s="9" t="s">
        <v>73</v>
      </c>
      <c r="F29" s="2"/>
      <c r="G29" s="2"/>
      <c r="H29" s="2" t="s">
        <v>318</v>
      </c>
      <c r="I29" s="1"/>
      <c r="J29" s="6" t="s">
        <v>319</v>
      </c>
      <c r="L29" t="s">
        <v>284</v>
      </c>
      <c r="M29" t="s">
        <v>285</v>
      </c>
    </row>
    <row r="30" spans="1:13" ht="23">
      <c r="A30" s="26">
        <v>28</v>
      </c>
      <c r="B30" s="27" t="s">
        <v>74</v>
      </c>
      <c r="C30" s="37" t="s">
        <v>16</v>
      </c>
      <c r="D30" s="13" t="s">
        <v>74</v>
      </c>
      <c r="E30" s="9" t="s">
        <v>75</v>
      </c>
      <c r="F30" s="2" t="s">
        <v>293</v>
      </c>
      <c r="G30" s="2" t="s">
        <v>294</v>
      </c>
      <c r="H30" s="2" t="s">
        <v>295</v>
      </c>
      <c r="I30" s="1" t="s">
        <v>320</v>
      </c>
      <c r="J30" s="5" t="s">
        <v>290</v>
      </c>
      <c r="L30" t="s">
        <v>291</v>
      </c>
      <c r="M30" s="56" t="s">
        <v>292</v>
      </c>
    </row>
    <row r="31" spans="1:13" ht="23">
      <c r="A31" s="26">
        <v>29</v>
      </c>
      <c r="B31" s="27" t="s">
        <v>76</v>
      </c>
      <c r="C31" s="37" t="s">
        <v>16</v>
      </c>
      <c r="D31" s="13" t="s">
        <v>76</v>
      </c>
      <c r="E31" s="9" t="s">
        <v>77</v>
      </c>
      <c r="F31" s="2" t="s">
        <v>293</v>
      </c>
      <c r="G31" s="2" t="s">
        <v>294</v>
      </c>
      <c r="H31" s="2" t="s">
        <v>295</v>
      </c>
      <c r="I31" s="1" t="s">
        <v>296</v>
      </c>
      <c r="J31" s="6" t="s">
        <v>306</v>
      </c>
      <c r="L31" t="s">
        <v>284</v>
      </c>
      <c r="M31" t="s">
        <v>311</v>
      </c>
    </row>
    <row r="32" spans="1:13" ht="23">
      <c r="A32" s="28">
        <v>30</v>
      </c>
      <c r="B32" s="27" t="s">
        <v>78</v>
      </c>
      <c r="C32" s="37" t="s">
        <v>16</v>
      </c>
      <c r="D32" s="13" t="s">
        <v>78</v>
      </c>
      <c r="E32" s="9" t="s">
        <v>80</v>
      </c>
      <c r="F32" s="2" t="s">
        <v>293</v>
      </c>
      <c r="G32" s="2" t="s">
        <v>294</v>
      </c>
      <c r="H32" s="2" t="s">
        <v>295</v>
      </c>
      <c r="I32" s="1" t="s">
        <v>305</v>
      </c>
      <c r="J32" s="4" t="s">
        <v>321</v>
      </c>
      <c r="L32" t="s">
        <v>298</v>
      </c>
      <c r="M32" t="s">
        <v>311</v>
      </c>
    </row>
    <row r="33" spans="1:13" ht="14.5">
      <c r="A33" s="26">
        <v>31</v>
      </c>
      <c r="B33" s="27" t="s">
        <v>81</v>
      </c>
      <c r="C33" s="37" t="s">
        <v>16</v>
      </c>
      <c r="D33" s="13" t="s">
        <v>81</v>
      </c>
      <c r="E33" s="9" t="s">
        <v>83</v>
      </c>
      <c r="F33" s="2" t="s">
        <v>293</v>
      </c>
      <c r="G33" s="2" t="s">
        <v>294</v>
      </c>
      <c r="H33" s="2" t="s">
        <v>295</v>
      </c>
      <c r="I33" s="1" t="s">
        <v>310</v>
      </c>
      <c r="J33" s="4" t="s">
        <v>321</v>
      </c>
      <c r="L33" t="s">
        <v>298</v>
      </c>
      <c r="M33" t="s">
        <v>311</v>
      </c>
    </row>
    <row r="34" spans="1:13" ht="14.5">
      <c r="A34" s="26">
        <v>32</v>
      </c>
      <c r="B34" s="27" t="s">
        <v>84</v>
      </c>
      <c r="C34" s="37" t="s">
        <v>16</v>
      </c>
      <c r="D34" s="13" t="s">
        <v>84</v>
      </c>
      <c r="E34" s="9" t="s">
        <v>86</v>
      </c>
      <c r="F34" s="2" t="s">
        <v>293</v>
      </c>
      <c r="G34" s="2" t="s">
        <v>294</v>
      </c>
      <c r="H34" s="2" t="s">
        <v>295</v>
      </c>
      <c r="I34" s="1" t="s">
        <v>300</v>
      </c>
      <c r="J34" s="6" t="s">
        <v>283</v>
      </c>
      <c r="L34" t="s">
        <v>284</v>
      </c>
      <c r="M34" t="s">
        <v>285</v>
      </c>
    </row>
    <row r="35" spans="1:13" ht="14.5">
      <c r="A35" s="26">
        <v>33</v>
      </c>
      <c r="B35" s="27" t="s">
        <v>87</v>
      </c>
      <c r="C35" s="37" t="s">
        <v>16</v>
      </c>
      <c r="D35" s="13" t="s">
        <v>87</v>
      </c>
      <c r="E35" s="9" t="s">
        <v>88</v>
      </c>
      <c r="F35" s="2" t="s">
        <v>322</v>
      </c>
      <c r="G35" s="2" t="s">
        <v>323</v>
      </c>
      <c r="H35" s="2" t="s">
        <v>324</v>
      </c>
      <c r="I35" s="1" t="s">
        <v>325</v>
      </c>
      <c r="J35" s="5" t="s">
        <v>290</v>
      </c>
      <c r="L35" t="s">
        <v>298</v>
      </c>
      <c r="M35" t="s">
        <v>285</v>
      </c>
    </row>
    <row r="36" spans="1:13" ht="14.5">
      <c r="A36" s="26">
        <v>34</v>
      </c>
      <c r="B36" s="27" t="s">
        <v>89</v>
      </c>
      <c r="C36" s="37" t="s">
        <v>16</v>
      </c>
      <c r="D36" s="13" t="s">
        <v>89</v>
      </c>
      <c r="E36" s="9" t="s">
        <v>88</v>
      </c>
      <c r="F36" s="2" t="s">
        <v>326</v>
      </c>
      <c r="G36" s="2" t="s">
        <v>323</v>
      </c>
      <c r="H36" s="2" t="s">
        <v>324</v>
      </c>
      <c r="I36" s="1" t="s">
        <v>325</v>
      </c>
      <c r="J36" s="5" t="s">
        <v>290</v>
      </c>
      <c r="L36" t="s">
        <v>298</v>
      </c>
      <c r="M36" t="s">
        <v>285</v>
      </c>
    </row>
    <row r="37" spans="1:13" ht="14.5">
      <c r="A37" s="26">
        <v>35</v>
      </c>
      <c r="B37" s="30" t="s">
        <v>90</v>
      </c>
      <c r="C37" s="37" t="s">
        <v>16</v>
      </c>
      <c r="D37" s="16" t="s">
        <v>90</v>
      </c>
      <c r="E37" s="21" t="s">
        <v>91</v>
      </c>
      <c r="F37" s="2" t="s">
        <v>293</v>
      </c>
      <c r="G37" s="2" t="s">
        <v>294</v>
      </c>
      <c r="H37" s="2" t="s">
        <v>295</v>
      </c>
      <c r="I37" s="1" t="s">
        <v>327</v>
      </c>
      <c r="J37" s="6" t="s">
        <v>283</v>
      </c>
      <c r="L37" t="s">
        <v>284</v>
      </c>
      <c r="M37" t="s">
        <v>285</v>
      </c>
    </row>
    <row r="38" spans="1:13" ht="14.5">
      <c r="A38" s="26">
        <v>36</v>
      </c>
      <c r="B38" s="30" t="s">
        <v>92</v>
      </c>
      <c r="C38" s="37" t="s">
        <v>16</v>
      </c>
      <c r="D38" s="16" t="s">
        <v>92</v>
      </c>
      <c r="E38" s="22" t="s">
        <v>93</v>
      </c>
      <c r="F38" s="2" t="s">
        <v>328</v>
      </c>
      <c r="G38" s="2" t="s">
        <v>294</v>
      </c>
      <c r="H38" s="2" t="s">
        <v>295</v>
      </c>
      <c r="I38" s="1" t="s">
        <v>329</v>
      </c>
      <c r="J38" s="5" t="s">
        <v>330</v>
      </c>
      <c r="L38" t="s">
        <v>298</v>
      </c>
      <c r="M38" t="s">
        <v>285</v>
      </c>
    </row>
    <row r="39" spans="1:13" ht="14.5">
      <c r="A39" s="26">
        <v>37</v>
      </c>
      <c r="B39" s="30" t="s">
        <v>94</v>
      </c>
      <c r="C39" s="37" t="s">
        <v>16</v>
      </c>
      <c r="D39" s="16" t="s">
        <v>94</v>
      </c>
      <c r="E39" s="22" t="s">
        <v>95</v>
      </c>
      <c r="F39" s="2"/>
      <c r="G39" s="2" t="s">
        <v>294</v>
      </c>
      <c r="H39" s="2" t="s">
        <v>295</v>
      </c>
      <c r="I39" s="1" t="s">
        <v>308</v>
      </c>
      <c r="J39" s="6" t="s">
        <v>283</v>
      </c>
      <c r="L39" t="s">
        <v>298</v>
      </c>
      <c r="M39" t="s">
        <v>285</v>
      </c>
    </row>
    <row r="40" spans="1:13" ht="14.5">
      <c r="A40" s="26">
        <v>38</v>
      </c>
      <c r="B40" s="30" t="s">
        <v>96</v>
      </c>
      <c r="C40" s="37" t="s">
        <v>16</v>
      </c>
      <c r="D40" s="16" t="s">
        <v>96</v>
      </c>
      <c r="E40" s="21" t="s">
        <v>97</v>
      </c>
      <c r="F40" s="2" t="s">
        <v>286</v>
      </c>
      <c r="G40" s="2" t="s">
        <v>287</v>
      </c>
      <c r="H40" s="2" t="s">
        <v>288</v>
      </c>
      <c r="I40" s="1" t="s">
        <v>331</v>
      </c>
      <c r="J40" s="6" t="s">
        <v>306</v>
      </c>
      <c r="L40" t="s">
        <v>284</v>
      </c>
      <c r="M40" t="s">
        <v>285</v>
      </c>
    </row>
    <row r="41" spans="1:13" ht="14.5">
      <c r="A41" s="26">
        <v>39</v>
      </c>
      <c r="B41" s="30" t="s">
        <v>98</v>
      </c>
      <c r="C41" s="37" t="s">
        <v>16</v>
      </c>
      <c r="D41" s="16" t="s">
        <v>98</v>
      </c>
      <c r="E41" s="21" t="s">
        <v>100</v>
      </c>
      <c r="F41" s="2" t="s">
        <v>286</v>
      </c>
      <c r="G41" s="2" t="s">
        <v>287</v>
      </c>
      <c r="H41" s="2" t="s">
        <v>288</v>
      </c>
      <c r="I41" s="1" t="s">
        <v>331</v>
      </c>
      <c r="J41" s="6" t="s">
        <v>306</v>
      </c>
      <c r="L41" t="s">
        <v>284</v>
      </c>
      <c r="M41" t="s">
        <v>285</v>
      </c>
    </row>
    <row r="42" spans="1:13" ht="14.5">
      <c r="A42" s="26">
        <v>40</v>
      </c>
      <c r="B42" s="30" t="s">
        <v>101</v>
      </c>
      <c r="C42" s="37" t="s">
        <v>16</v>
      </c>
      <c r="D42" s="16" t="s">
        <v>101</v>
      </c>
      <c r="E42" s="21" t="s">
        <v>102</v>
      </c>
      <c r="F42" s="2" t="s">
        <v>286</v>
      </c>
      <c r="G42" s="2" t="s">
        <v>287</v>
      </c>
      <c r="H42" s="2" t="s">
        <v>288</v>
      </c>
      <c r="I42" s="1" t="s">
        <v>331</v>
      </c>
      <c r="J42" s="6" t="s">
        <v>306</v>
      </c>
      <c r="L42" t="s">
        <v>284</v>
      </c>
      <c r="M42" t="s">
        <v>285</v>
      </c>
    </row>
    <row r="43" spans="1:13" ht="14.5">
      <c r="A43" s="26">
        <v>41</v>
      </c>
      <c r="B43" s="30" t="s">
        <v>103</v>
      </c>
      <c r="C43" s="37" t="s">
        <v>16</v>
      </c>
      <c r="D43" s="16" t="s">
        <v>103</v>
      </c>
      <c r="E43" s="21" t="s">
        <v>91</v>
      </c>
      <c r="F43" s="2" t="s">
        <v>293</v>
      </c>
      <c r="G43" s="2" t="s">
        <v>294</v>
      </c>
      <c r="H43" s="2" t="s">
        <v>295</v>
      </c>
      <c r="I43" s="1" t="s">
        <v>310</v>
      </c>
      <c r="J43" s="6" t="s">
        <v>283</v>
      </c>
      <c r="L43" t="s">
        <v>284</v>
      </c>
      <c r="M43" t="s">
        <v>285</v>
      </c>
    </row>
    <row r="44" spans="1:13" ht="14.5">
      <c r="A44" s="26">
        <v>42</v>
      </c>
      <c r="B44" s="30" t="s">
        <v>104</v>
      </c>
      <c r="C44" s="37" t="s">
        <v>16</v>
      </c>
      <c r="D44" s="16" t="s">
        <v>104</v>
      </c>
      <c r="E44" s="21" t="s">
        <v>91</v>
      </c>
      <c r="F44" s="2" t="s">
        <v>293</v>
      </c>
      <c r="G44" s="2" t="s">
        <v>294</v>
      </c>
      <c r="H44" s="2" t="s">
        <v>295</v>
      </c>
      <c r="I44" s="1" t="s">
        <v>310</v>
      </c>
      <c r="J44" s="6" t="s">
        <v>283</v>
      </c>
      <c r="L44" t="s">
        <v>284</v>
      </c>
      <c r="M44" t="s">
        <v>285</v>
      </c>
    </row>
    <row r="45" spans="1:13" ht="23">
      <c r="A45" s="26">
        <v>43</v>
      </c>
      <c r="B45" s="30" t="s">
        <v>105</v>
      </c>
      <c r="C45" s="37" t="s">
        <v>16</v>
      </c>
      <c r="D45" s="13" t="s">
        <v>105</v>
      </c>
      <c r="E45" s="9" t="s">
        <v>106</v>
      </c>
      <c r="F45" s="2" t="s">
        <v>293</v>
      </c>
      <c r="G45" s="2" t="s">
        <v>294</v>
      </c>
      <c r="H45" s="2" t="s">
        <v>295</v>
      </c>
      <c r="I45" s="1" t="s">
        <v>332</v>
      </c>
      <c r="J45" s="4" t="s">
        <v>333</v>
      </c>
      <c r="L45" t="s">
        <v>298</v>
      </c>
      <c r="M45" t="s">
        <v>285</v>
      </c>
    </row>
    <row r="46" spans="1:13" ht="23">
      <c r="A46" s="26">
        <v>44</v>
      </c>
      <c r="B46" s="30" t="s">
        <v>107</v>
      </c>
      <c r="C46" s="37" t="s">
        <v>16</v>
      </c>
      <c r="D46" s="13" t="s">
        <v>107</v>
      </c>
      <c r="E46" s="9" t="s">
        <v>106</v>
      </c>
      <c r="F46" s="2" t="s">
        <v>293</v>
      </c>
      <c r="G46" s="2" t="s">
        <v>294</v>
      </c>
      <c r="H46" s="2" t="s">
        <v>295</v>
      </c>
      <c r="I46" s="1" t="s">
        <v>334</v>
      </c>
      <c r="J46" s="4" t="s">
        <v>333</v>
      </c>
      <c r="L46" t="s">
        <v>298</v>
      </c>
      <c r="M46" t="s">
        <v>285</v>
      </c>
    </row>
    <row r="47" spans="1:13" ht="23">
      <c r="A47" s="26">
        <v>45</v>
      </c>
      <c r="B47" s="30" t="s">
        <v>108</v>
      </c>
      <c r="C47" s="37" t="s">
        <v>16</v>
      </c>
      <c r="D47" s="16" t="s">
        <v>108</v>
      </c>
      <c r="E47" s="21" t="s">
        <v>110</v>
      </c>
      <c r="F47" s="2"/>
      <c r="G47" s="2"/>
      <c r="H47" s="2" t="s">
        <v>335</v>
      </c>
      <c r="I47" s="1"/>
      <c r="J47" s="6" t="s">
        <v>319</v>
      </c>
      <c r="L47" t="s">
        <v>298</v>
      </c>
      <c r="M47" t="s">
        <v>285</v>
      </c>
    </row>
    <row r="48" spans="1:13" ht="14.5">
      <c r="A48" s="26">
        <v>46</v>
      </c>
      <c r="B48" s="30" t="s">
        <v>111</v>
      </c>
      <c r="C48" s="37" t="s">
        <v>16</v>
      </c>
      <c r="D48" s="16" t="s">
        <v>111</v>
      </c>
      <c r="E48" s="21" t="s">
        <v>114</v>
      </c>
      <c r="F48" s="2" t="s">
        <v>293</v>
      </c>
      <c r="G48" s="2" t="s">
        <v>294</v>
      </c>
      <c r="H48" s="2" t="s">
        <v>295</v>
      </c>
      <c r="I48" s="1" t="s">
        <v>336</v>
      </c>
      <c r="J48" s="4" t="s">
        <v>321</v>
      </c>
      <c r="L48" t="s">
        <v>298</v>
      </c>
      <c r="M48" t="s">
        <v>285</v>
      </c>
    </row>
    <row r="49" spans="1:13" ht="14.5">
      <c r="A49" s="26">
        <v>47</v>
      </c>
      <c r="B49" s="30" t="s">
        <v>115</v>
      </c>
      <c r="C49" s="37" t="s">
        <v>16</v>
      </c>
      <c r="D49" s="16" t="s">
        <v>115</v>
      </c>
      <c r="E49" s="21" t="s">
        <v>116</v>
      </c>
      <c r="F49" s="2"/>
      <c r="G49" s="2"/>
      <c r="H49" s="2" t="s">
        <v>335</v>
      </c>
      <c r="I49" s="1"/>
      <c r="J49" s="6" t="s">
        <v>319</v>
      </c>
      <c r="L49" t="s">
        <v>298</v>
      </c>
      <c r="M49" t="s">
        <v>285</v>
      </c>
    </row>
    <row r="50" spans="1:13" ht="23">
      <c r="A50" s="26">
        <v>48</v>
      </c>
      <c r="B50" s="30" t="s">
        <v>117</v>
      </c>
      <c r="C50" s="37" t="s">
        <v>16</v>
      </c>
      <c r="D50" s="16" t="s">
        <v>117</v>
      </c>
      <c r="E50" s="21" t="s">
        <v>119</v>
      </c>
      <c r="F50" s="2" t="s">
        <v>337</v>
      </c>
      <c r="G50" s="2" t="s">
        <v>294</v>
      </c>
      <c r="H50" s="2" t="s">
        <v>295</v>
      </c>
      <c r="I50" s="1" t="s">
        <v>317</v>
      </c>
      <c r="J50" s="5" t="s">
        <v>290</v>
      </c>
      <c r="L50" t="s">
        <v>298</v>
      </c>
      <c r="M50" s="56" t="s">
        <v>292</v>
      </c>
    </row>
    <row r="51" spans="1:13" ht="23">
      <c r="A51" s="26">
        <v>49</v>
      </c>
      <c r="B51" s="27" t="s">
        <v>120</v>
      </c>
      <c r="C51" s="37" t="s">
        <v>16</v>
      </c>
      <c r="D51" s="13" t="s">
        <v>120</v>
      </c>
      <c r="E51" s="9" t="s">
        <v>122</v>
      </c>
      <c r="F51" s="2"/>
      <c r="G51" s="2"/>
      <c r="H51" s="2"/>
      <c r="I51" s="1"/>
      <c r="J51" s="4" t="s">
        <v>321</v>
      </c>
      <c r="L51" t="s">
        <v>298</v>
      </c>
      <c r="M51" t="s">
        <v>285</v>
      </c>
    </row>
    <row r="52" spans="1:13" ht="23">
      <c r="A52" s="28">
        <v>50</v>
      </c>
      <c r="B52" s="27" t="s">
        <v>123</v>
      </c>
      <c r="C52" s="37" t="s">
        <v>16</v>
      </c>
      <c r="D52" s="13" t="s">
        <v>123</v>
      </c>
      <c r="E52" s="9" t="s">
        <v>124</v>
      </c>
      <c r="F52" s="2"/>
      <c r="G52" s="2"/>
      <c r="H52" s="2"/>
      <c r="I52" s="1"/>
      <c r="J52" s="4" t="s">
        <v>315</v>
      </c>
      <c r="L52" t="s">
        <v>298</v>
      </c>
      <c r="M52" t="s">
        <v>285</v>
      </c>
    </row>
    <row r="53" spans="1:13" ht="14.5">
      <c r="A53" s="26">
        <v>51</v>
      </c>
      <c r="B53" s="27" t="s">
        <v>125</v>
      </c>
      <c r="C53" s="37" t="s">
        <v>16</v>
      </c>
      <c r="D53" s="13" t="s">
        <v>125</v>
      </c>
      <c r="E53" s="9" t="s">
        <v>91</v>
      </c>
      <c r="F53" s="2" t="s">
        <v>293</v>
      </c>
      <c r="G53" s="2" t="s">
        <v>294</v>
      </c>
      <c r="H53" s="2" t="s">
        <v>295</v>
      </c>
      <c r="I53" s="1" t="s">
        <v>312</v>
      </c>
      <c r="J53" s="5" t="s">
        <v>290</v>
      </c>
      <c r="L53" t="s">
        <v>284</v>
      </c>
      <c r="M53" s="56" t="s">
        <v>292</v>
      </c>
    </row>
    <row r="54" spans="1:13" ht="14.5">
      <c r="A54" s="26">
        <v>52</v>
      </c>
      <c r="B54" s="27" t="s">
        <v>126</v>
      </c>
      <c r="C54" s="37" t="s">
        <v>16</v>
      </c>
      <c r="D54" s="13" t="s">
        <v>126</v>
      </c>
      <c r="E54" s="9" t="s">
        <v>88</v>
      </c>
      <c r="F54" s="2" t="s">
        <v>338</v>
      </c>
      <c r="G54" s="2" t="s">
        <v>323</v>
      </c>
      <c r="H54" s="2" t="s">
        <v>324</v>
      </c>
      <c r="I54" s="1" t="s">
        <v>339</v>
      </c>
      <c r="J54" s="6" t="s">
        <v>340</v>
      </c>
      <c r="L54" t="s">
        <v>284</v>
      </c>
      <c r="M54" t="s">
        <v>285</v>
      </c>
    </row>
    <row r="55" spans="1:13" ht="14.5">
      <c r="A55" s="26">
        <v>53</v>
      </c>
      <c r="B55" s="27" t="s">
        <v>128</v>
      </c>
      <c r="C55" s="37" t="s">
        <v>16</v>
      </c>
      <c r="D55" s="13" t="s">
        <v>128</v>
      </c>
      <c r="E55" s="9" t="s">
        <v>88</v>
      </c>
      <c r="F55" s="2" t="s">
        <v>338</v>
      </c>
      <c r="G55" s="2" t="s">
        <v>323</v>
      </c>
      <c r="H55" s="2" t="s">
        <v>324</v>
      </c>
      <c r="I55" s="1" t="s">
        <v>339</v>
      </c>
      <c r="J55" s="6" t="s">
        <v>340</v>
      </c>
      <c r="L55" t="s">
        <v>284</v>
      </c>
      <c r="M55" t="s">
        <v>285</v>
      </c>
    </row>
    <row r="56" spans="1:13" ht="14.5">
      <c r="A56" s="26">
        <v>54</v>
      </c>
      <c r="B56" s="27" t="s">
        <v>129</v>
      </c>
      <c r="C56" s="37" t="s">
        <v>16</v>
      </c>
      <c r="D56" s="13" t="s">
        <v>129</v>
      </c>
      <c r="E56" s="9" t="s">
        <v>88</v>
      </c>
      <c r="F56" s="2"/>
      <c r="G56" s="2"/>
      <c r="H56" s="2" t="s">
        <v>335</v>
      </c>
      <c r="I56" s="1"/>
      <c r="J56" s="6" t="s">
        <v>319</v>
      </c>
      <c r="L56" t="s">
        <v>298</v>
      </c>
      <c r="M56" t="s">
        <v>285</v>
      </c>
    </row>
    <row r="57" spans="1:13" ht="23">
      <c r="A57" s="26">
        <v>55</v>
      </c>
      <c r="B57" s="27" t="s">
        <v>44</v>
      </c>
      <c r="C57" s="37" t="s">
        <v>132</v>
      </c>
      <c r="D57" s="13" t="s">
        <v>44</v>
      </c>
      <c r="E57" s="9" t="s">
        <v>131</v>
      </c>
      <c r="F57" s="2" t="s">
        <v>293</v>
      </c>
      <c r="G57" s="2" t="s">
        <v>294</v>
      </c>
      <c r="H57" s="2" t="s">
        <v>295</v>
      </c>
      <c r="I57" s="1" t="s">
        <v>308</v>
      </c>
      <c r="J57" s="5" t="s">
        <v>290</v>
      </c>
      <c r="L57" t="s">
        <v>291</v>
      </c>
      <c r="M57" s="56" t="s">
        <v>292</v>
      </c>
    </row>
    <row r="58" spans="1:13" ht="34.5">
      <c r="A58" s="28">
        <v>56</v>
      </c>
      <c r="B58" s="27" t="s">
        <v>47</v>
      </c>
      <c r="C58" s="37" t="s">
        <v>132</v>
      </c>
      <c r="D58" s="13" t="s">
        <v>47</v>
      </c>
      <c r="E58" s="9" t="s">
        <v>133</v>
      </c>
      <c r="F58" s="2" t="s">
        <v>293</v>
      </c>
      <c r="G58" s="2" t="s">
        <v>294</v>
      </c>
      <c r="H58" s="2" t="s">
        <v>295</v>
      </c>
      <c r="I58" s="1" t="s">
        <v>296</v>
      </c>
      <c r="J58" s="6" t="s">
        <v>306</v>
      </c>
      <c r="L58" t="s">
        <v>298</v>
      </c>
      <c r="M58" t="s">
        <v>285</v>
      </c>
    </row>
    <row r="59" spans="1:13" ht="14.5">
      <c r="A59" s="26">
        <v>57</v>
      </c>
      <c r="B59" s="27" t="s">
        <v>134</v>
      </c>
      <c r="C59" s="37" t="s">
        <v>16</v>
      </c>
      <c r="D59" s="13" t="s">
        <v>134</v>
      </c>
      <c r="E59" s="9" t="s">
        <v>135</v>
      </c>
      <c r="F59" s="2"/>
      <c r="G59" s="2"/>
      <c r="H59" s="2" t="s">
        <v>335</v>
      </c>
      <c r="I59" s="1"/>
      <c r="J59" s="6" t="s">
        <v>319</v>
      </c>
      <c r="L59" t="s">
        <v>298</v>
      </c>
      <c r="M59" t="s">
        <v>285</v>
      </c>
    </row>
    <row r="60" spans="1:13" ht="34.5">
      <c r="A60" s="28">
        <v>58</v>
      </c>
      <c r="B60" s="27" t="s">
        <v>136</v>
      </c>
      <c r="C60" s="37" t="s">
        <v>16</v>
      </c>
      <c r="D60" s="13" t="s">
        <v>136</v>
      </c>
      <c r="E60" s="9" t="s">
        <v>137</v>
      </c>
      <c r="F60" s="2"/>
      <c r="G60" s="2"/>
      <c r="H60" s="2" t="s">
        <v>335</v>
      </c>
      <c r="I60" s="1"/>
      <c r="J60" s="6" t="s">
        <v>319</v>
      </c>
      <c r="L60" t="s">
        <v>298</v>
      </c>
      <c r="M60" t="s">
        <v>285</v>
      </c>
    </row>
    <row r="61" spans="1:13" ht="46">
      <c r="A61" s="28">
        <v>59</v>
      </c>
      <c r="B61" s="31" t="s">
        <v>138</v>
      </c>
      <c r="C61" s="37" t="s">
        <v>16</v>
      </c>
      <c r="D61" s="17" t="s">
        <v>138</v>
      </c>
      <c r="E61" s="11" t="s">
        <v>139</v>
      </c>
      <c r="F61" s="2"/>
      <c r="G61" s="2"/>
      <c r="H61" s="2" t="s">
        <v>335</v>
      </c>
      <c r="I61" s="1"/>
      <c r="J61" s="6" t="s">
        <v>319</v>
      </c>
      <c r="L61" t="s">
        <v>298</v>
      </c>
      <c r="M61" t="s">
        <v>285</v>
      </c>
    </row>
    <row r="62" spans="1:13" ht="14.5">
      <c r="A62" s="26">
        <v>60</v>
      </c>
      <c r="B62" s="27" t="s">
        <v>140</v>
      </c>
      <c r="C62" s="39" t="s">
        <v>16</v>
      </c>
      <c r="D62" s="13" t="s">
        <v>140</v>
      </c>
      <c r="E62" s="9" t="s">
        <v>88</v>
      </c>
      <c r="F62" s="2" t="s">
        <v>338</v>
      </c>
      <c r="G62" s="2" t="s">
        <v>323</v>
      </c>
      <c r="H62" s="2" t="s">
        <v>324</v>
      </c>
      <c r="I62" s="1" t="s">
        <v>341</v>
      </c>
      <c r="J62" s="6" t="s">
        <v>340</v>
      </c>
      <c r="L62" t="s">
        <v>284</v>
      </c>
      <c r="M62" t="s">
        <v>285</v>
      </c>
    </row>
    <row r="63" spans="1:13" ht="14.5">
      <c r="A63" s="26">
        <v>61</v>
      </c>
      <c r="B63" s="27" t="s">
        <v>141</v>
      </c>
      <c r="C63" s="39" t="s">
        <v>16</v>
      </c>
      <c r="D63" s="13" t="s">
        <v>141</v>
      </c>
      <c r="E63" s="9" t="s">
        <v>91</v>
      </c>
      <c r="F63" s="2" t="s">
        <v>293</v>
      </c>
      <c r="G63" s="2" t="s">
        <v>294</v>
      </c>
      <c r="H63" s="2" t="s">
        <v>295</v>
      </c>
      <c r="I63" s="1" t="s">
        <v>310</v>
      </c>
      <c r="J63" s="4" t="s">
        <v>321</v>
      </c>
      <c r="L63" t="s">
        <v>284</v>
      </c>
      <c r="M63" t="s">
        <v>285</v>
      </c>
    </row>
    <row r="64" spans="1:13" ht="14.5">
      <c r="A64" s="26">
        <v>62</v>
      </c>
      <c r="B64" s="27" t="s">
        <v>142</v>
      </c>
      <c r="C64" s="39" t="s">
        <v>16</v>
      </c>
      <c r="D64" s="13" t="s">
        <v>142</v>
      </c>
      <c r="E64" s="9" t="s">
        <v>143</v>
      </c>
      <c r="F64" s="2" t="s">
        <v>293</v>
      </c>
      <c r="G64" s="2" t="s">
        <v>294</v>
      </c>
      <c r="H64" s="2" t="s">
        <v>295</v>
      </c>
      <c r="I64" s="1" t="s">
        <v>310</v>
      </c>
      <c r="J64" s="4" t="s">
        <v>321</v>
      </c>
      <c r="L64" t="s">
        <v>284</v>
      </c>
      <c r="M64" t="s">
        <v>285</v>
      </c>
    </row>
    <row r="65" spans="1:13" ht="23">
      <c r="A65" s="32">
        <v>63</v>
      </c>
      <c r="B65" s="33" t="s">
        <v>144</v>
      </c>
      <c r="C65" s="37" t="s">
        <v>16</v>
      </c>
      <c r="D65" s="13" t="s">
        <v>144</v>
      </c>
      <c r="E65" s="9" t="s">
        <v>145</v>
      </c>
      <c r="F65" s="2" t="s">
        <v>293</v>
      </c>
      <c r="G65" s="2" t="s">
        <v>294</v>
      </c>
      <c r="H65" s="2" t="s">
        <v>295</v>
      </c>
      <c r="I65" s="1" t="s">
        <v>342</v>
      </c>
      <c r="J65" s="6" t="s">
        <v>306</v>
      </c>
      <c r="L65" t="s">
        <v>298</v>
      </c>
      <c r="M65" t="s">
        <v>285</v>
      </c>
    </row>
    <row r="66" spans="1:13" ht="14.5">
      <c r="A66" s="32">
        <v>64</v>
      </c>
      <c r="B66" s="33" t="s">
        <v>146</v>
      </c>
      <c r="C66" s="40" t="s">
        <v>16</v>
      </c>
      <c r="D66" s="13" t="s">
        <v>146</v>
      </c>
      <c r="E66" s="9" t="s">
        <v>147</v>
      </c>
      <c r="F66" s="2" t="s">
        <v>293</v>
      </c>
      <c r="G66" s="2" t="s">
        <v>294</v>
      </c>
      <c r="H66" s="2" t="s">
        <v>295</v>
      </c>
      <c r="I66" s="1" t="s">
        <v>343</v>
      </c>
      <c r="J66" s="6" t="s">
        <v>306</v>
      </c>
      <c r="L66" t="s">
        <v>298</v>
      </c>
      <c r="M66" t="s">
        <v>311</v>
      </c>
    </row>
    <row r="67" spans="1:13" ht="14.5">
      <c r="A67" s="34">
        <v>65</v>
      </c>
      <c r="B67" s="35" t="s">
        <v>148</v>
      </c>
      <c r="C67" s="40" t="s">
        <v>16</v>
      </c>
      <c r="D67" s="18" t="s">
        <v>148</v>
      </c>
      <c r="E67" s="23" t="s">
        <v>149</v>
      </c>
      <c r="F67" s="2" t="s">
        <v>293</v>
      </c>
      <c r="G67" s="2" t="s">
        <v>294</v>
      </c>
      <c r="H67" s="2" t="s">
        <v>295</v>
      </c>
      <c r="I67" s="1" t="s">
        <v>342</v>
      </c>
      <c r="J67" s="6" t="s">
        <v>306</v>
      </c>
      <c r="L67" t="s">
        <v>298</v>
      </c>
      <c r="M67" t="s">
        <v>285</v>
      </c>
    </row>
  </sheetData>
  <autoFilter ref="A2:M67" xr:uid="{97A3C0CB-1507-47FC-8F6C-BFDF3196C024}"/>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F4798-D696-48A4-8867-9D82491CF364}">
  <dimension ref="A3:J7"/>
  <sheetViews>
    <sheetView workbookViewId="0">
      <selection activeCell="I10" sqref="I10"/>
    </sheetView>
  </sheetViews>
  <sheetFormatPr defaultRowHeight="12.5"/>
  <cols>
    <col min="1" max="1" width="13" bestFit="1" customWidth="1"/>
    <col min="2" max="2" width="14.81640625" bestFit="1" customWidth="1"/>
    <col min="9" max="9" width="13" bestFit="1" customWidth="1"/>
    <col min="10" max="10" width="14.81640625" bestFit="1" customWidth="1"/>
  </cols>
  <sheetData>
    <row r="3" spans="1:10">
      <c r="A3" s="54" t="s">
        <v>344</v>
      </c>
      <c r="B3" t="s">
        <v>345</v>
      </c>
      <c r="I3" s="54" t="s">
        <v>344</v>
      </c>
      <c r="J3" t="s">
        <v>345</v>
      </c>
    </row>
    <row r="4" spans="1:10">
      <c r="A4" s="55" t="s">
        <v>291</v>
      </c>
      <c r="B4">
        <v>12</v>
      </c>
      <c r="I4" s="55" t="s">
        <v>292</v>
      </c>
      <c r="J4">
        <v>15</v>
      </c>
    </row>
    <row r="5" spans="1:10">
      <c r="A5" s="55" t="s">
        <v>298</v>
      </c>
      <c r="B5">
        <v>32</v>
      </c>
      <c r="I5" s="55" t="s">
        <v>285</v>
      </c>
      <c r="J5">
        <v>42</v>
      </c>
    </row>
    <row r="6" spans="1:10">
      <c r="A6" s="55" t="s">
        <v>284</v>
      </c>
      <c r="B6">
        <v>21</v>
      </c>
      <c r="I6" s="55" t="s">
        <v>311</v>
      </c>
      <c r="J6">
        <v>8</v>
      </c>
    </row>
    <row r="7" spans="1:10">
      <c r="A7" s="55" t="s">
        <v>346</v>
      </c>
      <c r="B7">
        <v>65</v>
      </c>
      <c r="I7" s="55" t="s">
        <v>346</v>
      </c>
      <c r="J7">
        <v>65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5675B-56AB-4F72-A72C-EF6D6F508F30}">
  <dimension ref="A1:A9"/>
  <sheetViews>
    <sheetView workbookViewId="0">
      <selection activeCell="A9" sqref="A9"/>
    </sheetView>
  </sheetViews>
  <sheetFormatPr defaultRowHeight="12.5"/>
  <sheetData>
    <row r="1" spans="1:1">
      <c r="A1" s="2" t="s">
        <v>282</v>
      </c>
    </row>
    <row r="2" spans="1:1">
      <c r="A2" s="2" t="s">
        <v>288</v>
      </c>
    </row>
    <row r="3" spans="1:1">
      <c r="A3" s="2" t="s">
        <v>295</v>
      </c>
    </row>
    <row r="4" spans="1:1">
      <c r="A4" s="2" t="s">
        <v>313</v>
      </c>
    </row>
    <row r="5" spans="1:1">
      <c r="A5" s="2" t="s">
        <v>314</v>
      </c>
    </row>
    <row r="6" spans="1:1">
      <c r="A6" s="2"/>
    </row>
    <row r="7" spans="1:1">
      <c r="A7" s="2" t="s">
        <v>318</v>
      </c>
    </row>
    <row r="8" spans="1:1">
      <c r="A8" s="2" t="s">
        <v>324</v>
      </c>
    </row>
    <row r="9" spans="1:1">
      <c r="A9" s="2" t="s">
        <v>335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A97ED-F6BB-4E99-B865-55553C78B5C4}">
  <sheetPr>
    <pageSetUpPr fitToPage="1"/>
  </sheetPr>
  <dimension ref="B1:AB82"/>
  <sheetViews>
    <sheetView zoomScaleNormal="100" workbookViewId="0">
      <selection activeCell="K7" sqref="K7"/>
    </sheetView>
  </sheetViews>
  <sheetFormatPr defaultColWidth="12.453125" defaultRowHeight="14"/>
  <cols>
    <col min="1" max="2" width="3.81640625" style="59" customWidth="1"/>
    <col min="3" max="3" width="37.7265625" style="59" bestFit="1" customWidth="1"/>
    <col min="4" max="4" width="6.54296875" style="59" hidden="1" customWidth="1"/>
    <col min="5" max="5" width="5.54296875" style="59" hidden="1" customWidth="1"/>
    <col min="6" max="6" width="5.81640625" style="59" hidden="1" customWidth="1"/>
    <col min="7" max="7" width="12.1796875" style="59" hidden="1" customWidth="1"/>
    <col min="8" max="8" width="9.81640625" style="59" hidden="1" customWidth="1"/>
    <col min="9" max="9" width="27.54296875" style="59" customWidth="1"/>
    <col min="10" max="10" width="5.453125" style="61" bestFit="1" customWidth="1"/>
    <col min="11" max="256" width="12.453125" style="59"/>
    <col min="257" max="258" width="3.81640625" style="59" customWidth="1"/>
    <col min="259" max="259" width="37.7265625" style="59" bestFit="1" customWidth="1"/>
    <col min="260" max="260" width="6.54296875" style="59" bestFit="1" customWidth="1"/>
    <col min="261" max="261" width="5.54296875" style="59" bestFit="1" customWidth="1"/>
    <col min="262" max="262" width="5.81640625" style="59" bestFit="1" customWidth="1"/>
    <col min="263" max="263" width="12.1796875" style="59" bestFit="1" customWidth="1"/>
    <col min="264" max="264" width="9.81640625" style="59" bestFit="1" customWidth="1"/>
    <col min="265" max="265" width="73.1796875" style="59" customWidth="1"/>
    <col min="266" max="266" width="5.453125" style="59" bestFit="1" customWidth="1"/>
    <col min="267" max="512" width="12.453125" style="59"/>
    <col min="513" max="514" width="3.81640625" style="59" customWidth="1"/>
    <col min="515" max="515" width="37.7265625" style="59" bestFit="1" customWidth="1"/>
    <col min="516" max="516" width="6.54296875" style="59" bestFit="1" customWidth="1"/>
    <col min="517" max="517" width="5.54296875" style="59" bestFit="1" customWidth="1"/>
    <col min="518" max="518" width="5.81640625" style="59" bestFit="1" customWidth="1"/>
    <col min="519" max="519" width="12.1796875" style="59" bestFit="1" customWidth="1"/>
    <col min="520" max="520" width="9.81640625" style="59" bestFit="1" customWidth="1"/>
    <col min="521" max="521" width="73.1796875" style="59" customWidth="1"/>
    <col min="522" max="522" width="5.453125" style="59" bestFit="1" customWidth="1"/>
    <col min="523" max="768" width="12.453125" style="59"/>
    <col min="769" max="770" width="3.81640625" style="59" customWidth="1"/>
    <col min="771" max="771" width="37.7265625" style="59" bestFit="1" customWidth="1"/>
    <col min="772" max="772" width="6.54296875" style="59" bestFit="1" customWidth="1"/>
    <col min="773" max="773" width="5.54296875" style="59" bestFit="1" customWidth="1"/>
    <col min="774" max="774" width="5.81640625" style="59" bestFit="1" customWidth="1"/>
    <col min="775" max="775" width="12.1796875" style="59" bestFit="1" customWidth="1"/>
    <col min="776" max="776" width="9.81640625" style="59" bestFit="1" customWidth="1"/>
    <col min="777" max="777" width="73.1796875" style="59" customWidth="1"/>
    <col min="778" max="778" width="5.453125" style="59" bestFit="1" customWidth="1"/>
    <col min="779" max="1024" width="12.453125" style="59"/>
    <col min="1025" max="1026" width="3.81640625" style="59" customWidth="1"/>
    <col min="1027" max="1027" width="37.7265625" style="59" bestFit="1" customWidth="1"/>
    <col min="1028" max="1028" width="6.54296875" style="59" bestFit="1" customWidth="1"/>
    <col min="1029" max="1029" width="5.54296875" style="59" bestFit="1" customWidth="1"/>
    <col min="1030" max="1030" width="5.81640625" style="59" bestFit="1" customWidth="1"/>
    <col min="1031" max="1031" width="12.1796875" style="59" bestFit="1" customWidth="1"/>
    <col min="1032" max="1032" width="9.81640625" style="59" bestFit="1" customWidth="1"/>
    <col min="1033" max="1033" width="73.1796875" style="59" customWidth="1"/>
    <col min="1034" max="1034" width="5.453125" style="59" bestFit="1" customWidth="1"/>
    <col min="1035" max="1280" width="12.453125" style="59"/>
    <col min="1281" max="1282" width="3.81640625" style="59" customWidth="1"/>
    <col min="1283" max="1283" width="37.7265625" style="59" bestFit="1" customWidth="1"/>
    <col min="1284" max="1284" width="6.54296875" style="59" bestFit="1" customWidth="1"/>
    <col min="1285" max="1285" width="5.54296875" style="59" bestFit="1" customWidth="1"/>
    <col min="1286" max="1286" width="5.81640625" style="59" bestFit="1" customWidth="1"/>
    <col min="1287" max="1287" width="12.1796875" style="59" bestFit="1" customWidth="1"/>
    <col min="1288" max="1288" width="9.81640625" style="59" bestFit="1" customWidth="1"/>
    <col min="1289" max="1289" width="73.1796875" style="59" customWidth="1"/>
    <col min="1290" max="1290" width="5.453125" style="59" bestFit="1" customWidth="1"/>
    <col min="1291" max="1536" width="12.453125" style="59"/>
    <col min="1537" max="1538" width="3.81640625" style="59" customWidth="1"/>
    <col min="1539" max="1539" width="37.7265625" style="59" bestFit="1" customWidth="1"/>
    <col min="1540" max="1540" width="6.54296875" style="59" bestFit="1" customWidth="1"/>
    <col min="1541" max="1541" width="5.54296875" style="59" bestFit="1" customWidth="1"/>
    <col min="1542" max="1542" width="5.81640625" style="59" bestFit="1" customWidth="1"/>
    <col min="1543" max="1543" width="12.1796875" style="59" bestFit="1" customWidth="1"/>
    <col min="1544" max="1544" width="9.81640625" style="59" bestFit="1" customWidth="1"/>
    <col min="1545" max="1545" width="73.1796875" style="59" customWidth="1"/>
    <col min="1546" max="1546" width="5.453125" style="59" bestFit="1" customWidth="1"/>
    <col min="1547" max="1792" width="12.453125" style="59"/>
    <col min="1793" max="1794" width="3.81640625" style="59" customWidth="1"/>
    <col min="1795" max="1795" width="37.7265625" style="59" bestFit="1" customWidth="1"/>
    <col min="1796" max="1796" width="6.54296875" style="59" bestFit="1" customWidth="1"/>
    <col min="1797" max="1797" width="5.54296875" style="59" bestFit="1" customWidth="1"/>
    <col min="1798" max="1798" width="5.81640625" style="59" bestFit="1" customWidth="1"/>
    <col min="1799" max="1799" width="12.1796875" style="59" bestFit="1" customWidth="1"/>
    <col min="1800" max="1800" width="9.81640625" style="59" bestFit="1" customWidth="1"/>
    <col min="1801" max="1801" width="73.1796875" style="59" customWidth="1"/>
    <col min="1802" max="1802" width="5.453125" style="59" bestFit="1" customWidth="1"/>
    <col min="1803" max="2048" width="12.453125" style="59"/>
    <col min="2049" max="2050" width="3.81640625" style="59" customWidth="1"/>
    <col min="2051" max="2051" width="37.7265625" style="59" bestFit="1" customWidth="1"/>
    <col min="2052" max="2052" width="6.54296875" style="59" bestFit="1" customWidth="1"/>
    <col min="2053" max="2053" width="5.54296875" style="59" bestFit="1" customWidth="1"/>
    <col min="2054" max="2054" width="5.81640625" style="59" bestFit="1" customWidth="1"/>
    <col min="2055" max="2055" width="12.1796875" style="59" bestFit="1" customWidth="1"/>
    <col min="2056" max="2056" width="9.81640625" style="59" bestFit="1" customWidth="1"/>
    <col min="2057" max="2057" width="73.1796875" style="59" customWidth="1"/>
    <col min="2058" max="2058" width="5.453125" style="59" bestFit="1" customWidth="1"/>
    <col min="2059" max="2304" width="12.453125" style="59"/>
    <col min="2305" max="2306" width="3.81640625" style="59" customWidth="1"/>
    <col min="2307" max="2307" width="37.7265625" style="59" bestFit="1" customWidth="1"/>
    <col min="2308" max="2308" width="6.54296875" style="59" bestFit="1" customWidth="1"/>
    <col min="2309" max="2309" width="5.54296875" style="59" bestFit="1" customWidth="1"/>
    <col min="2310" max="2310" width="5.81640625" style="59" bestFit="1" customWidth="1"/>
    <col min="2311" max="2311" width="12.1796875" style="59" bestFit="1" customWidth="1"/>
    <col min="2312" max="2312" width="9.81640625" style="59" bestFit="1" customWidth="1"/>
    <col min="2313" max="2313" width="73.1796875" style="59" customWidth="1"/>
    <col min="2314" max="2314" width="5.453125" style="59" bestFit="1" customWidth="1"/>
    <col min="2315" max="2560" width="12.453125" style="59"/>
    <col min="2561" max="2562" width="3.81640625" style="59" customWidth="1"/>
    <col min="2563" max="2563" width="37.7265625" style="59" bestFit="1" customWidth="1"/>
    <col min="2564" max="2564" width="6.54296875" style="59" bestFit="1" customWidth="1"/>
    <col min="2565" max="2565" width="5.54296875" style="59" bestFit="1" customWidth="1"/>
    <col min="2566" max="2566" width="5.81640625" style="59" bestFit="1" customWidth="1"/>
    <col min="2567" max="2567" width="12.1796875" style="59" bestFit="1" customWidth="1"/>
    <col min="2568" max="2568" width="9.81640625" style="59" bestFit="1" customWidth="1"/>
    <col min="2569" max="2569" width="73.1796875" style="59" customWidth="1"/>
    <col min="2570" max="2570" width="5.453125" style="59" bestFit="1" customWidth="1"/>
    <col min="2571" max="2816" width="12.453125" style="59"/>
    <col min="2817" max="2818" width="3.81640625" style="59" customWidth="1"/>
    <col min="2819" max="2819" width="37.7265625" style="59" bestFit="1" customWidth="1"/>
    <col min="2820" max="2820" width="6.54296875" style="59" bestFit="1" customWidth="1"/>
    <col min="2821" max="2821" width="5.54296875" style="59" bestFit="1" customWidth="1"/>
    <col min="2822" max="2822" width="5.81640625" style="59" bestFit="1" customWidth="1"/>
    <col min="2823" max="2823" width="12.1796875" style="59" bestFit="1" customWidth="1"/>
    <col min="2824" max="2824" width="9.81640625" style="59" bestFit="1" customWidth="1"/>
    <col min="2825" max="2825" width="73.1796875" style="59" customWidth="1"/>
    <col min="2826" max="2826" width="5.453125" style="59" bestFit="1" customWidth="1"/>
    <col min="2827" max="3072" width="12.453125" style="59"/>
    <col min="3073" max="3074" width="3.81640625" style="59" customWidth="1"/>
    <col min="3075" max="3075" width="37.7265625" style="59" bestFit="1" customWidth="1"/>
    <col min="3076" max="3076" width="6.54296875" style="59" bestFit="1" customWidth="1"/>
    <col min="3077" max="3077" width="5.54296875" style="59" bestFit="1" customWidth="1"/>
    <col min="3078" max="3078" width="5.81640625" style="59" bestFit="1" customWidth="1"/>
    <col min="3079" max="3079" width="12.1796875" style="59" bestFit="1" customWidth="1"/>
    <col min="3080" max="3080" width="9.81640625" style="59" bestFit="1" customWidth="1"/>
    <col min="3081" max="3081" width="73.1796875" style="59" customWidth="1"/>
    <col min="3082" max="3082" width="5.453125" style="59" bestFit="1" customWidth="1"/>
    <col min="3083" max="3328" width="12.453125" style="59"/>
    <col min="3329" max="3330" width="3.81640625" style="59" customWidth="1"/>
    <col min="3331" max="3331" width="37.7265625" style="59" bestFit="1" customWidth="1"/>
    <col min="3332" max="3332" width="6.54296875" style="59" bestFit="1" customWidth="1"/>
    <col min="3333" max="3333" width="5.54296875" style="59" bestFit="1" customWidth="1"/>
    <col min="3334" max="3334" width="5.81640625" style="59" bestFit="1" customWidth="1"/>
    <col min="3335" max="3335" width="12.1796875" style="59" bestFit="1" customWidth="1"/>
    <col min="3336" max="3336" width="9.81640625" style="59" bestFit="1" customWidth="1"/>
    <col min="3337" max="3337" width="73.1796875" style="59" customWidth="1"/>
    <col min="3338" max="3338" width="5.453125" style="59" bestFit="1" customWidth="1"/>
    <col min="3339" max="3584" width="12.453125" style="59"/>
    <col min="3585" max="3586" width="3.81640625" style="59" customWidth="1"/>
    <col min="3587" max="3587" width="37.7265625" style="59" bestFit="1" customWidth="1"/>
    <col min="3588" max="3588" width="6.54296875" style="59" bestFit="1" customWidth="1"/>
    <col min="3589" max="3589" width="5.54296875" style="59" bestFit="1" customWidth="1"/>
    <col min="3590" max="3590" width="5.81640625" style="59" bestFit="1" customWidth="1"/>
    <col min="3591" max="3591" width="12.1796875" style="59" bestFit="1" customWidth="1"/>
    <col min="3592" max="3592" width="9.81640625" style="59" bestFit="1" customWidth="1"/>
    <col min="3593" max="3593" width="73.1796875" style="59" customWidth="1"/>
    <col min="3594" max="3594" width="5.453125" style="59" bestFit="1" customWidth="1"/>
    <col min="3595" max="3840" width="12.453125" style="59"/>
    <col min="3841" max="3842" width="3.81640625" style="59" customWidth="1"/>
    <col min="3843" max="3843" width="37.7265625" style="59" bestFit="1" customWidth="1"/>
    <col min="3844" max="3844" width="6.54296875" style="59" bestFit="1" customWidth="1"/>
    <col min="3845" max="3845" width="5.54296875" style="59" bestFit="1" customWidth="1"/>
    <col min="3846" max="3846" width="5.81640625" style="59" bestFit="1" customWidth="1"/>
    <col min="3847" max="3847" width="12.1796875" style="59" bestFit="1" customWidth="1"/>
    <col min="3848" max="3848" width="9.81640625" style="59" bestFit="1" customWidth="1"/>
    <col min="3849" max="3849" width="73.1796875" style="59" customWidth="1"/>
    <col min="3850" max="3850" width="5.453125" style="59" bestFit="1" customWidth="1"/>
    <col min="3851" max="4096" width="12.453125" style="59"/>
    <col min="4097" max="4098" width="3.81640625" style="59" customWidth="1"/>
    <col min="4099" max="4099" width="37.7265625" style="59" bestFit="1" customWidth="1"/>
    <col min="4100" max="4100" width="6.54296875" style="59" bestFit="1" customWidth="1"/>
    <col min="4101" max="4101" width="5.54296875" style="59" bestFit="1" customWidth="1"/>
    <col min="4102" max="4102" width="5.81640625" style="59" bestFit="1" customWidth="1"/>
    <col min="4103" max="4103" width="12.1796875" style="59" bestFit="1" customWidth="1"/>
    <col min="4104" max="4104" width="9.81640625" style="59" bestFit="1" customWidth="1"/>
    <col min="4105" max="4105" width="73.1796875" style="59" customWidth="1"/>
    <col min="4106" max="4106" width="5.453125" style="59" bestFit="1" customWidth="1"/>
    <col min="4107" max="4352" width="12.453125" style="59"/>
    <col min="4353" max="4354" width="3.81640625" style="59" customWidth="1"/>
    <col min="4355" max="4355" width="37.7265625" style="59" bestFit="1" customWidth="1"/>
    <col min="4356" max="4356" width="6.54296875" style="59" bestFit="1" customWidth="1"/>
    <col min="4357" max="4357" width="5.54296875" style="59" bestFit="1" customWidth="1"/>
    <col min="4358" max="4358" width="5.81640625" style="59" bestFit="1" customWidth="1"/>
    <col min="4359" max="4359" width="12.1796875" style="59" bestFit="1" customWidth="1"/>
    <col min="4360" max="4360" width="9.81640625" style="59" bestFit="1" customWidth="1"/>
    <col min="4361" max="4361" width="73.1796875" style="59" customWidth="1"/>
    <col min="4362" max="4362" width="5.453125" style="59" bestFit="1" customWidth="1"/>
    <col min="4363" max="4608" width="12.453125" style="59"/>
    <col min="4609" max="4610" width="3.81640625" style="59" customWidth="1"/>
    <col min="4611" max="4611" width="37.7265625" style="59" bestFit="1" customWidth="1"/>
    <col min="4612" max="4612" width="6.54296875" style="59" bestFit="1" customWidth="1"/>
    <col min="4613" max="4613" width="5.54296875" style="59" bestFit="1" customWidth="1"/>
    <col min="4614" max="4614" width="5.81640625" style="59" bestFit="1" customWidth="1"/>
    <col min="4615" max="4615" width="12.1796875" style="59" bestFit="1" customWidth="1"/>
    <col min="4616" max="4616" width="9.81640625" style="59" bestFit="1" customWidth="1"/>
    <col min="4617" max="4617" width="73.1796875" style="59" customWidth="1"/>
    <col min="4618" max="4618" width="5.453125" style="59" bestFit="1" customWidth="1"/>
    <col min="4619" max="4864" width="12.453125" style="59"/>
    <col min="4865" max="4866" width="3.81640625" style="59" customWidth="1"/>
    <col min="4867" max="4867" width="37.7265625" style="59" bestFit="1" customWidth="1"/>
    <col min="4868" max="4868" width="6.54296875" style="59" bestFit="1" customWidth="1"/>
    <col min="4869" max="4869" width="5.54296875" style="59" bestFit="1" customWidth="1"/>
    <col min="4870" max="4870" width="5.81640625" style="59" bestFit="1" customWidth="1"/>
    <col min="4871" max="4871" width="12.1796875" style="59" bestFit="1" customWidth="1"/>
    <col min="4872" max="4872" width="9.81640625" style="59" bestFit="1" customWidth="1"/>
    <col min="4873" max="4873" width="73.1796875" style="59" customWidth="1"/>
    <col min="4874" max="4874" width="5.453125" style="59" bestFit="1" customWidth="1"/>
    <col min="4875" max="5120" width="12.453125" style="59"/>
    <col min="5121" max="5122" width="3.81640625" style="59" customWidth="1"/>
    <col min="5123" max="5123" width="37.7265625" style="59" bestFit="1" customWidth="1"/>
    <col min="5124" max="5124" width="6.54296875" style="59" bestFit="1" customWidth="1"/>
    <col min="5125" max="5125" width="5.54296875" style="59" bestFit="1" customWidth="1"/>
    <col min="5126" max="5126" width="5.81640625" style="59" bestFit="1" customWidth="1"/>
    <col min="5127" max="5127" width="12.1796875" style="59" bestFit="1" customWidth="1"/>
    <col min="5128" max="5128" width="9.81640625" style="59" bestFit="1" customWidth="1"/>
    <col min="5129" max="5129" width="73.1796875" style="59" customWidth="1"/>
    <col min="5130" max="5130" width="5.453125" style="59" bestFit="1" customWidth="1"/>
    <col min="5131" max="5376" width="12.453125" style="59"/>
    <col min="5377" max="5378" width="3.81640625" style="59" customWidth="1"/>
    <col min="5379" max="5379" width="37.7265625" style="59" bestFit="1" customWidth="1"/>
    <col min="5380" max="5380" width="6.54296875" style="59" bestFit="1" customWidth="1"/>
    <col min="5381" max="5381" width="5.54296875" style="59" bestFit="1" customWidth="1"/>
    <col min="5382" max="5382" width="5.81640625" style="59" bestFit="1" customWidth="1"/>
    <col min="5383" max="5383" width="12.1796875" style="59" bestFit="1" customWidth="1"/>
    <col min="5384" max="5384" width="9.81640625" style="59" bestFit="1" customWidth="1"/>
    <col min="5385" max="5385" width="73.1796875" style="59" customWidth="1"/>
    <col min="5386" max="5386" width="5.453125" style="59" bestFit="1" customWidth="1"/>
    <col min="5387" max="5632" width="12.453125" style="59"/>
    <col min="5633" max="5634" width="3.81640625" style="59" customWidth="1"/>
    <col min="5635" max="5635" width="37.7265625" style="59" bestFit="1" customWidth="1"/>
    <col min="5636" max="5636" width="6.54296875" style="59" bestFit="1" customWidth="1"/>
    <col min="5637" max="5637" width="5.54296875" style="59" bestFit="1" customWidth="1"/>
    <col min="5638" max="5638" width="5.81640625" style="59" bestFit="1" customWidth="1"/>
    <col min="5639" max="5639" width="12.1796875" style="59" bestFit="1" customWidth="1"/>
    <col min="5640" max="5640" width="9.81640625" style="59" bestFit="1" customWidth="1"/>
    <col min="5641" max="5641" width="73.1796875" style="59" customWidth="1"/>
    <col min="5642" max="5642" width="5.453125" style="59" bestFit="1" customWidth="1"/>
    <col min="5643" max="5888" width="12.453125" style="59"/>
    <col min="5889" max="5890" width="3.81640625" style="59" customWidth="1"/>
    <col min="5891" max="5891" width="37.7265625" style="59" bestFit="1" customWidth="1"/>
    <col min="5892" max="5892" width="6.54296875" style="59" bestFit="1" customWidth="1"/>
    <col min="5893" max="5893" width="5.54296875" style="59" bestFit="1" customWidth="1"/>
    <col min="5894" max="5894" width="5.81640625" style="59" bestFit="1" customWidth="1"/>
    <col min="5895" max="5895" width="12.1796875" style="59" bestFit="1" customWidth="1"/>
    <col min="5896" max="5896" width="9.81640625" style="59" bestFit="1" customWidth="1"/>
    <col min="5897" max="5897" width="73.1796875" style="59" customWidth="1"/>
    <col min="5898" max="5898" width="5.453125" style="59" bestFit="1" customWidth="1"/>
    <col min="5899" max="6144" width="12.453125" style="59"/>
    <col min="6145" max="6146" width="3.81640625" style="59" customWidth="1"/>
    <col min="6147" max="6147" width="37.7265625" style="59" bestFit="1" customWidth="1"/>
    <col min="6148" max="6148" width="6.54296875" style="59" bestFit="1" customWidth="1"/>
    <col min="6149" max="6149" width="5.54296875" style="59" bestFit="1" customWidth="1"/>
    <col min="6150" max="6150" width="5.81640625" style="59" bestFit="1" customWidth="1"/>
    <col min="6151" max="6151" width="12.1796875" style="59" bestFit="1" customWidth="1"/>
    <col min="6152" max="6152" width="9.81640625" style="59" bestFit="1" customWidth="1"/>
    <col min="6153" max="6153" width="73.1796875" style="59" customWidth="1"/>
    <col min="6154" max="6154" width="5.453125" style="59" bestFit="1" customWidth="1"/>
    <col min="6155" max="6400" width="12.453125" style="59"/>
    <col min="6401" max="6402" width="3.81640625" style="59" customWidth="1"/>
    <col min="6403" max="6403" width="37.7265625" style="59" bestFit="1" customWidth="1"/>
    <col min="6404" max="6404" width="6.54296875" style="59" bestFit="1" customWidth="1"/>
    <col min="6405" max="6405" width="5.54296875" style="59" bestFit="1" customWidth="1"/>
    <col min="6406" max="6406" width="5.81640625" style="59" bestFit="1" customWidth="1"/>
    <col min="6407" max="6407" width="12.1796875" style="59" bestFit="1" customWidth="1"/>
    <col min="6408" max="6408" width="9.81640625" style="59" bestFit="1" customWidth="1"/>
    <col min="6409" max="6409" width="73.1796875" style="59" customWidth="1"/>
    <col min="6410" max="6410" width="5.453125" style="59" bestFit="1" customWidth="1"/>
    <col min="6411" max="6656" width="12.453125" style="59"/>
    <col min="6657" max="6658" width="3.81640625" style="59" customWidth="1"/>
    <col min="6659" max="6659" width="37.7265625" style="59" bestFit="1" customWidth="1"/>
    <col min="6660" max="6660" width="6.54296875" style="59" bestFit="1" customWidth="1"/>
    <col min="6661" max="6661" width="5.54296875" style="59" bestFit="1" customWidth="1"/>
    <col min="6662" max="6662" width="5.81640625" style="59" bestFit="1" customWidth="1"/>
    <col min="6663" max="6663" width="12.1796875" style="59" bestFit="1" customWidth="1"/>
    <col min="6664" max="6664" width="9.81640625" style="59" bestFit="1" customWidth="1"/>
    <col min="6665" max="6665" width="73.1796875" style="59" customWidth="1"/>
    <col min="6666" max="6666" width="5.453125" style="59" bestFit="1" customWidth="1"/>
    <col min="6667" max="6912" width="12.453125" style="59"/>
    <col min="6913" max="6914" width="3.81640625" style="59" customWidth="1"/>
    <col min="6915" max="6915" width="37.7265625" style="59" bestFit="1" customWidth="1"/>
    <col min="6916" max="6916" width="6.54296875" style="59" bestFit="1" customWidth="1"/>
    <col min="6917" max="6917" width="5.54296875" style="59" bestFit="1" customWidth="1"/>
    <col min="6918" max="6918" width="5.81640625" style="59" bestFit="1" customWidth="1"/>
    <col min="6919" max="6919" width="12.1796875" style="59" bestFit="1" customWidth="1"/>
    <col min="6920" max="6920" width="9.81640625" style="59" bestFit="1" customWidth="1"/>
    <col min="6921" max="6921" width="73.1796875" style="59" customWidth="1"/>
    <col min="6922" max="6922" width="5.453125" style="59" bestFit="1" customWidth="1"/>
    <col min="6923" max="7168" width="12.453125" style="59"/>
    <col min="7169" max="7170" width="3.81640625" style="59" customWidth="1"/>
    <col min="7171" max="7171" width="37.7265625" style="59" bestFit="1" customWidth="1"/>
    <col min="7172" max="7172" width="6.54296875" style="59" bestFit="1" customWidth="1"/>
    <col min="7173" max="7173" width="5.54296875" style="59" bestFit="1" customWidth="1"/>
    <col min="7174" max="7174" width="5.81640625" style="59" bestFit="1" customWidth="1"/>
    <col min="7175" max="7175" width="12.1796875" style="59" bestFit="1" customWidth="1"/>
    <col min="7176" max="7176" width="9.81640625" style="59" bestFit="1" customWidth="1"/>
    <col min="7177" max="7177" width="73.1796875" style="59" customWidth="1"/>
    <col min="7178" max="7178" width="5.453125" style="59" bestFit="1" customWidth="1"/>
    <col min="7179" max="7424" width="12.453125" style="59"/>
    <col min="7425" max="7426" width="3.81640625" style="59" customWidth="1"/>
    <col min="7427" max="7427" width="37.7265625" style="59" bestFit="1" customWidth="1"/>
    <col min="7428" max="7428" width="6.54296875" style="59" bestFit="1" customWidth="1"/>
    <col min="7429" max="7429" width="5.54296875" style="59" bestFit="1" customWidth="1"/>
    <col min="7430" max="7430" width="5.81640625" style="59" bestFit="1" customWidth="1"/>
    <col min="7431" max="7431" width="12.1796875" style="59" bestFit="1" customWidth="1"/>
    <col min="7432" max="7432" width="9.81640625" style="59" bestFit="1" customWidth="1"/>
    <col min="7433" max="7433" width="73.1796875" style="59" customWidth="1"/>
    <col min="7434" max="7434" width="5.453125" style="59" bestFit="1" customWidth="1"/>
    <col min="7435" max="7680" width="12.453125" style="59"/>
    <col min="7681" max="7682" width="3.81640625" style="59" customWidth="1"/>
    <col min="7683" max="7683" width="37.7265625" style="59" bestFit="1" customWidth="1"/>
    <col min="7684" max="7684" width="6.54296875" style="59" bestFit="1" customWidth="1"/>
    <col min="7685" max="7685" width="5.54296875" style="59" bestFit="1" customWidth="1"/>
    <col min="7686" max="7686" width="5.81640625" style="59" bestFit="1" customWidth="1"/>
    <col min="7687" max="7687" width="12.1796875" style="59" bestFit="1" customWidth="1"/>
    <col min="7688" max="7688" width="9.81640625" style="59" bestFit="1" customWidth="1"/>
    <col min="7689" max="7689" width="73.1796875" style="59" customWidth="1"/>
    <col min="7690" max="7690" width="5.453125" style="59" bestFit="1" customWidth="1"/>
    <col min="7691" max="7936" width="12.453125" style="59"/>
    <col min="7937" max="7938" width="3.81640625" style="59" customWidth="1"/>
    <col min="7939" max="7939" width="37.7265625" style="59" bestFit="1" customWidth="1"/>
    <col min="7940" max="7940" width="6.54296875" style="59" bestFit="1" customWidth="1"/>
    <col min="7941" max="7941" width="5.54296875" style="59" bestFit="1" customWidth="1"/>
    <col min="7942" max="7942" width="5.81640625" style="59" bestFit="1" customWidth="1"/>
    <col min="7943" max="7943" width="12.1796875" style="59" bestFit="1" customWidth="1"/>
    <col min="7944" max="7944" width="9.81640625" style="59" bestFit="1" customWidth="1"/>
    <col min="7945" max="7945" width="73.1796875" style="59" customWidth="1"/>
    <col min="7946" max="7946" width="5.453125" style="59" bestFit="1" customWidth="1"/>
    <col min="7947" max="8192" width="12.453125" style="59"/>
    <col min="8193" max="8194" width="3.81640625" style="59" customWidth="1"/>
    <col min="8195" max="8195" width="37.7265625" style="59" bestFit="1" customWidth="1"/>
    <col min="8196" max="8196" width="6.54296875" style="59" bestFit="1" customWidth="1"/>
    <col min="8197" max="8197" width="5.54296875" style="59" bestFit="1" customWidth="1"/>
    <col min="8198" max="8198" width="5.81640625" style="59" bestFit="1" customWidth="1"/>
    <col min="8199" max="8199" width="12.1796875" style="59" bestFit="1" customWidth="1"/>
    <col min="8200" max="8200" width="9.81640625" style="59" bestFit="1" customWidth="1"/>
    <col min="8201" max="8201" width="73.1796875" style="59" customWidth="1"/>
    <col min="8202" max="8202" width="5.453125" style="59" bestFit="1" customWidth="1"/>
    <col min="8203" max="8448" width="12.453125" style="59"/>
    <col min="8449" max="8450" width="3.81640625" style="59" customWidth="1"/>
    <col min="8451" max="8451" width="37.7265625" style="59" bestFit="1" customWidth="1"/>
    <col min="8452" max="8452" width="6.54296875" style="59" bestFit="1" customWidth="1"/>
    <col min="8453" max="8453" width="5.54296875" style="59" bestFit="1" customWidth="1"/>
    <col min="8454" max="8454" width="5.81640625" style="59" bestFit="1" customWidth="1"/>
    <col min="8455" max="8455" width="12.1796875" style="59" bestFit="1" customWidth="1"/>
    <col min="8456" max="8456" width="9.81640625" style="59" bestFit="1" customWidth="1"/>
    <col min="8457" max="8457" width="73.1796875" style="59" customWidth="1"/>
    <col min="8458" max="8458" width="5.453125" style="59" bestFit="1" customWidth="1"/>
    <col min="8459" max="8704" width="12.453125" style="59"/>
    <col min="8705" max="8706" width="3.81640625" style="59" customWidth="1"/>
    <col min="8707" max="8707" width="37.7265625" style="59" bestFit="1" customWidth="1"/>
    <col min="8708" max="8708" width="6.54296875" style="59" bestFit="1" customWidth="1"/>
    <col min="8709" max="8709" width="5.54296875" style="59" bestFit="1" customWidth="1"/>
    <col min="8710" max="8710" width="5.81640625" style="59" bestFit="1" customWidth="1"/>
    <col min="8711" max="8711" width="12.1796875" style="59" bestFit="1" customWidth="1"/>
    <col min="8712" max="8712" width="9.81640625" style="59" bestFit="1" customWidth="1"/>
    <col min="8713" max="8713" width="73.1796875" style="59" customWidth="1"/>
    <col min="8714" max="8714" width="5.453125" style="59" bestFit="1" customWidth="1"/>
    <col min="8715" max="8960" width="12.453125" style="59"/>
    <col min="8961" max="8962" width="3.81640625" style="59" customWidth="1"/>
    <col min="8963" max="8963" width="37.7265625" style="59" bestFit="1" customWidth="1"/>
    <col min="8964" max="8964" width="6.54296875" style="59" bestFit="1" customWidth="1"/>
    <col min="8965" max="8965" width="5.54296875" style="59" bestFit="1" customWidth="1"/>
    <col min="8966" max="8966" width="5.81640625" style="59" bestFit="1" customWidth="1"/>
    <col min="8967" max="8967" width="12.1796875" style="59" bestFit="1" customWidth="1"/>
    <col min="8968" max="8968" width="9.81640625" style="59" bestFit="1" customWidth="1"/>
    <col min="8969" max="8969" width="73.1796875" style="59" customWidth="1"/>
    <col min="8970" max="8970" width="5.453125" style="59" bestFit="1" customWidth="1"/>
    <col min="8971" max="9216" width="12.453125" style="59"/>
    <col min="9217" max="9218" width="3.81640625" style="59" customWidth="1"/>
    <col min="9219" max="9219" width="37.7265625" style="59" bestFit="1" customWidth="1"/>
    <col min="9220" max="9220" width="6.54296875" style="59" bestFit="1" customWidth="1"/>
    <col min="9221" max="9221" width="5.54296875" style="59" bestFit="1" customWidth="1"/>
    <col min="9222" max="9222" width="5.81640625" style="59" bestFit="1" customWidth="1"/>
    <col min="9223" max="9223" width="12.1796875" style="59" bestFit="1" customWidth="1"/>
    <col min="9224" max="9224" width="9.81640625" style="59" bestFit="1" customWidth="1"/>
    <col min="9225" max="9225" width="73.1796875" style="59" customWidth="1"/>
    <col min="9226" max="9226" width="5.453125" style="59" bestFit="1" customWidth="1"/>
    <col min="9227" max="9472" width="12.453125" style="59"/>
    <col min="9473" max="9474" width="3.81640625" style="59" customWidth="1"/>
    <col min="9475" max="9475" width="37.7265625" style="59" bestFit="1" customWidth="1"/>
    <col min="9476" max="9476" width="6.54296875" style="59" bestFit="1" customWidth="1"/>
    <col min="9477" max="9477" width="5.54296875" style="59" bestFit="1" customWidth="1"/>
    <col min="9478" max="9478" width="5.81640625" style="59" bestFit="1" customWidth="1"/>
    <col min="9479" max="9479" width="12.1796875" style="59" bestFit="1" customWidth="1"/>
    <col min="9480" max="9480" width="9.81640625" style="59" bestFit="1" customWidth="1"/>
    <col min="9481" max="9481" width="73.1796875" style="59" customWidth="1"/>
    <col min="9482" max="9482" width="5.453125" style="59" bestFit="1" customWidth="1"/>
    <col min="9483" max="9728" width="12.453125" style="59"/>
    <col min="9729" max="9730" width="3.81640625" style="59" customWidth="1"/>
    <col min="9731" max="9731" width="37.7265625" style="59" bestFit="1" customWidth="1"/>
    <col min="9732" max="9732" width="6.54296875" style="59" bestFit="1" customWidth="1"/>
    <col min="9733" max="9733" width="5.54296875" style="59" bestFit="1" customWidth="1"/>
    <col min="9734" max="9734" width="5.81640625" style="59" bestFit="1" customWidth="1"/>
    <col min="9735" max="9735" width="12.1796875" style="59" bestFit="1" customWidth="1"/>
    <col min="9736" max="9736" width="9.81640625" style="59" bestFit="1" customWidth="1"/>
    <col min="9737" max="9737" width="73.1796875" style="59" customWidth="1"/>
    <col min="9738" max="9738" width="5.453125" style="59" bestFit="1" customWidth="1"/>
    <col min="9739" max="9984" width="12.453125" style="59"/>
    <col min="9985" max="9986" width="3.81640625" style="59" customWidth="1"/>
    <col min="9987" max="9987" width="37.7265625" style="59" bestFit="1" customWidth="1"/>
    <col min="9988" max="9988" width="6.54296875" style="59" bestFit="1" customWidth="1"/>
    <col min="9989" max="9989" width="5.54296875" style="59" bestFit="1" customWidth="1"/>
    <col min="9990" max="9990" width="5.81640625" style="59" bestFit="1" customWidth="1"/>
    <col min="9991" max="9991" width="12.1796875" style="59" bestFit="1" customWidth="1"/>
    <col min="9992" max="9992" width="9.81640625" style="59" bestFit="1" customWidth="1"/>
    <col min="9993" max="9993" width="73.1796875" style="59" customWidth="1"/>
    <col min="9994" max="9994" width="5.453125" style="59" bestFit="1" customWidth="1"/>
    <col min="9995" max="10240" width="12.453125" style="59"/>
    <col min="10241" max="10242" width="3.81640625" style="59" customWidth="1"/>
    <col min="10243" max="10243" width="37.7265625" style="59" bestFit="1" customWidth="1"/>
    <col min="10244" max="10244" width="6.54296875" style="59" bestFit="1" customWidth="1"/>
    <col min="10245" max="10245" width="5.54296875" style="59" bestFit="1" customWidth="1"/>
    <col min="10246" max="10246" width="5.81640625" style="59" bestFit="1" customWidth="1"/>
    <col min="10247" max="10247" width="12.1796875" style="59" bestFit="1" customWidth="1"/>
    <col min="10248" max="10248" width="9.81640625" style="59" bestFit="1" customWidth="1"/>
    <col min="10249" max="10249" width="73.1796875" style="59" customWidth="1"/>
    <col min="10250" max="10250" width="5.453125" style="59" bestFit="1" customWidth="1"/>
    <col min="10251" max="10496" width="12.453125" style="59"/>
    <col min="10497" max="10498" width="3.81640625" style="59" customWidth="1"/>
    <col min="10499" max="10499" width="37.7265625" style="59" bestFit="1" customWidth="1"/>
    <col min="10500" max="10500" width="6.54296875" style="59" bestFit="1" customWidth="1"/>
    <col min="10501" max="10501" width="5.54296875" style="59" bestFit="1" customWidth="1"/>
    <col min="10502" max="10502" width="5.81640625" style="59" bestFit="1" customWidth="1"/>
    <col min="10503" max="10503" width="12.1796875" style="59" bestFit="1" customWidth="1"/>
    <col min="10504" max="10504" width="9.81640625" style="59" bestFit="1" customWidth="1"/>
    <col min="10505" max="10505" width="73.1796875" style="59" customWidth="1"/>
    <col min="10506" max="10506" width="5.453125" style="59" bestFit="1" customWidth="1"/>
    <col min="10507" max="10752" width="12.453125" style="59"/>
    <col min="10753" max="10754" width="3.81640625" style="59" customWidth="1"/>
    <col min="10755" max="10755" width="37.7265625" style="59" bestFit="1" customWidth="1"/>
    <col min="10756" max="10756" width="6.54296875" style="59" bestFit="1" customWidth="1"/>
    <col min="10757" max="10757" width="5.54296875" style="59" bestFit="1" customWidth="1"/>
    <col min="10758" max="10758" width="5.81640625" style="59" bestFit="1" customWidth="1"/>
    <col min="10759" max="10759" width="12.1796875" style="59" bestFit="1" customWidth="1"/>
    <col min="10760" max="10760" width="9.81640625" style="59" bestFit="1" customWidth="1"/>
    <col min="10761" max="10761" width="73.1796875" style="59" customWidth="1"/>
    <col min="10762" max="10762" width="5.453125" style="59" bestFit="1" customWidth="1"/>
    <col min="10763" max="11008" width="12.453125" style="59"/>
    <col min="11009" max="11010" width="3.81640625" style="59" customWidth="1"/>
    <col min="11011" max="11011" width="37.7265625" style="59" bestFit="1" customWidth="1"/>
    <col min="11012" max="11012" width="6.54296875" style="59" bestFit="1" customWidth="1"/>
    <col min="11013" max="11013" width="5.54296875" style="59" bestFit="1" customWidth="1"/>
    <col min="11014" max="11014" width="5.81640625" style="59" bestFit="1" customWidth="1"/>
    <col min="11015" max="11015" width="12.1796875" style="59" bestFit="1" customWidth="1"/>
    <col min="11016" max="11016" width="9.81640625" style="59" bestFit="1" customWidth="1"/>
    <col min="11017" max="11017" width="73.1796875" style="59" customWidth="1"/>
    <col min="11018" max="11018" width="5.453125" style="59" bestFit="1" customWidth="1"/>
    <col min="11019" max="11264" width="12.453125" style="59"/>
    <col min="11265" max="11266" width="3.81640625" style="59" customWidth="1"/>
    <col min="11267" max="11267" width="37.7265625" style="59" bestFit="1" customWidth="1"/>
    <col min="11268" max="11268" width="6.54296875" style="59" bestFit="1" customWidth="1"/>
    <col min="11269" max="11269" width="5.54296875" style="59" bestFit="1" customWidth="1"/>
    <col min="11270" max="11270" width="5.81640625" style="59" bestFit="1" customWidth="1"/>
    <col min="11271" max="11271" width="12.1796875" style="59" bestFit="1" customWidth="1"/>
    <col min="11272" max="11272" width="9.81640625" style="59" bestFit="1" customWidth="1"/>
    <col min="11273" max="11273" width="73.1796875" style="59" customWidth="1"/>
    <col min="11274" max="11274" width="5.453125" style="59" bestFit="1" customWidth="1"/>
    <col min="11275" max="11520" width="12.453125" style="59"/>
    <col min="11521" max="11522" width="3.81640625" style="59" customWidth="1"/>
    <col min="11523" max="11523" width="37.7265625" style="59" bestFit="1" customWidth="1"/>
    <col min="11524" max="11524" width="6.54296875" style="59" bestFit="1" customWidth="1"/>
    <col min="11525" max="11525" width="5.54296875" style="59" bestFit="1" customWidth="1"/>
    <col min="11526" max="11526" width="5.81640625" style="59" bestFit="1" customWidth="1"/>
    <col min="11527" max="11527" width="12.1796875" style="59" bestFit="1" customWidth="1"/>
    <col min="11528" max="11528" width="9.81640625" style="59" bestFit="1" customWidth="1"/>
    <col min="11529" max="11529" width="73.1796875" style="59" customWidth="1"/>
    <col min="11530" max="11530" width="5.453125" style="59" bestFit="1" customWidth="1"/>
    <col min="11531" max="11776" width="12.453125" style="59"/>
    <col min="11777" max="11778" width="3.81640625" style="59" customWidth="1"/>
    <col min="11779" max="11779" width="37.7265625" style="59" bestFit="1" customWidth="1"/>
    <col min="11780" max="11780" width="6.54296875" style="59" bestFit="1" customWidth="1"/>
    <col min="11781" max="11781" width="5.54296875" style="59" bestFit="1" customWidth="1"/>
    <col min="11782" max="11782" width="5.81640625" style="59" bestFit="1" customWidth="1"/>
    <col min="11783" max="11783" width="12.1796875" style="59" bestFit="1" customWidth="1"/>
    <col min="11784" max="11784" width="9.81640625" style="59" bestFit="1" customWidth="1"/>
    <col min="11785" max="11785" width="73.1796875" style="59" customWidth="1"/>
    <col min="11786" max="11786" width="5.453125" style="59" bestFit="1" customWidth="1"/>
    <col min="11787" max="12032" width="12.453125" style="59"/>
    <col min="12033" max="12034" width="3.81640625" style="59" customWidth="1"/>
    <col min="12035" max="12035" width="37.7265625" style="59" bestFit="1" customWidth="1"/>
    <col min="12036" max="12036" width="6.54296875" style="59" bestFit="1" customWidth="1"/>
    <col min="12037" max="12037" width="5.54296875" style="59" bestFit="1" customWidth="1"/>
    <col min="12038" max="12038" width="5.81640625" style="59" bestFit="1" customWidth="1"/>
    <col min="12039" max="12039" width="12.1796875" style="59" bestFit="1" customWidth="1"/>
    <col min="12040" max="12040" width="9.81640625" style="59" bestFit="1" customWidth="1"/>
    <col min="12041" max="12041" width="73.1796875" style="59" customWidth="1"/>
    <col min="12042" max="12042" width="5.453125" style="59" bestFit="1" customWidth="1"/>
    <col min="12043" max="12288" width="12.453125" style="59"/>
    <col min="12289" max="12290" width="3.81640625" style="59" customWidth="1"/>
    <col min="12291" max="12291" width="37.7265625" style="59" bestFit="1" customWidth="1"/>
    <col min="12292" max="12292" width="6.54296875" style="59" bestFit="1" customWidth="1"/>
    <col min="12293" max="12293" width="5.54296875" style="59" bestFit="1" customWidth="1"/>
    <col min="12294" max="12294" width="5.81640625" style="59" bestFit="1" customWidth="1"/>
    <col min="12295" max="12295" width="12.1796875" style="59" bestFit="1" customWidth="1"/>
    <col min="12296" max="12296" width="9.81640625" style="59" bestFit="1" customWidth="1"/>
    <col min="12297" max="12297" width="73.1796875" style="59" customWidth="1"/>
    <col min="12298" max="12298" width="5.453125" style="59" bestFit="1" customWidth="1"/>
    <col min="12299" max="12544" width="12.453125" style="59"/>
    <col min="12545" max="12546" width="3.81640625" style="59" customWidth="1"/>
    <col min="12547" max="12547" width="37.7265625" style="59" bestFit="1" customWidth="1"/>
    <col min="12548" max="12548" width="6.54296875" style="59" bestFit="1" customWidth="1"/>
    <col min="12549" max="12549" width="5.54296875" style="59" bestFit="1" customWidth="1"/>
    <col min="12550" max="12550" width="5.81640625" style="59" bestFit="1" customWidth="1"/>
    <col min="12551" max="12551" width="12.1796875" style="59" bestFit="1" customWidth="1"/>
    <col min="12552" max="12552" width="9.81640625" style="59" bestFit="1" customWidth="1"/>
    <col min="12553" max="12553" width="73.1796875" style="59" customWidth="1"/>
    <col min="12554" max="12554" width="5.453125" style="59" bestFit="1" customWidth="1"/>
    <col min="12555" max="12800" width="12.453125" style="59"/>
    <col min="12801" max="12802" width="3.81640625" style="59" customWidth="1"/>
    <col min="12803" max="12803" width="37.7265625" style="59" bestFit="1" customWidth="1"/>
    <col min="12804" max="12804" width="6.54296875" style="59" bestFit="1" customWidth="1"/>
    <col min="12805" max="12805" width="5.54296875" style="59" bestFit="1" customWidth="1"/>
    <col min="12806" max="12806" width="5.81640625" style="59" bestFit="1" customWidth="1"/>
    <col min="12807" max="12807" width="12.1796875" style="59" bestFit="1" customWidth="1"/>
    <col min="12808" max="12808" width="9.81640625" style="59" bestFit="1" customWidth="1"/>
    <col min="12809" max="12809" width="73.1796875" style="59" customWidth="1"/>
    <col min="12810" max="12810" width="5.453125" style="59" bestFit="1" customWidth="1"/>
    <col min="12811" max="13056" width="12.453125" style="59"/>
    <col min="13057" max="13058" width="3.81640625" style="59" customWidth="1"/>
    <col min="13059" max="13059" width="37.7265625" style="59" bestFit="1" customWidth="1"/>
    <col min="13060" max="13060" width="6.54296875" style="59" bestFit="1" customWidth="1"/>
    <col min="13061" max="13061" width="5.54296875" style="59" bestFit="1" customWidth="1"/>
    <col min="13062" max="13062" width="5.81640625" style="59" bestFit="1" customWidth="1"/>
    <col min="13063" max="13063" width="12.1796875" style="59" bestFit="1" customWidth="1"/>
    <col min="13064" max="13064" width="9.81640625" style="59" bestFit="1" customWidth="1"/>
    <col min="13065" max="13065" width="73.1796875" style="59" customWidth="1"/>
    <col min="13066" max="13066" width="5.453125" style="59" bestFit="1" customWidth="1"/>
    <col min="13067" max="13312" width="12.453125" style="59"/>
    <col min="13313" max="13314" width="3.81640625" style="59" customWidth="1"/>
    <col min="13315" max="13315" width="37.7265625" style="59" bestFit="1" customWidth="1"/>
    <col min="13316" max="13316" width="6.54296875" style="59" bestFit="1" customWidth="1"/>
    <col min="13317" max="13317" width="5.54296875" style="59" bestFit="1" customWidth="1"/>
    <col min="13318" max="13318" width="5.81640625" style="59" bestFit="1" customWidth="1"/>
    <col min="13319" max="13319" width="12.1796875" style="59" bestFit="1" customWidth="1"/>
    <col min="13320" max="13320" width="9.81640625" style="59" bestFit="1" customWidth="1"/>
    <col min="13321" max="13321" width="73.1796875" style="59" customWidth="1"/>
    <col min="13322" max="13322" width="5.453125" style="59" bestFit="1" customWidth="1"/>
    <col min="13323" max="13568" width="12.453125" style="59"/>
    <col min="13569" max="13570" width="3.81640625" style="59" customWidth="1"/>
    <col min="13571" max="13571" width="37.7265625" style="59" bestFit="1" customWidth="1"/>
    <col min="13572" max="13572" width="6.54296875" style="59" bestFit="1" customWidth="1"/>
    <col min="13573" max="13573" width="5.54296875" style="59" bestFit="1" customWidth="1"/>
    <col min="13574" max="13574" width="5.81640625" style="59" bestFit="1" customWidth="1"/>
    <col min="13575" max="13575" width="12.1796875" style="59" bestFit="1" customWidth="1"/>
    <col min="13576" max="13576" width="9.81640625" style="59" bestFit="1" customWidth="1"/>
    <col min="13577" max="13577" width="73.1796875" style="59" customWidth="1"/>
    <col min="13578" max="13578" width="5.453125" style="59" bestFit="1" customWidth="1"/>
    <col min="13579" max="13824" width="12.453125" style="59"/>
    <col min="13825" max="13826" width="3.81640625" style="59" customWidth="1"/>
    <col min="13827" max="13827" width="37.7265625" style="59" bestFit="1" customWidth="1"/>
    <col min="13828" max="13828" width="6.54296875" style="59" bestFit="1" customWidth="1"/>
    <col min="13829" max="13829" width="5.54296875" style="59" bestFit="1" customWidth="1"/>
    <col min="13830" max="13830" width="5.81640625" style="59" bestFit="1" customWidth="1"/>
    <col min="13831" max="13831" width="12.1796875" style="59" bestFit="1" customWidth="1"/>
    <col min="13832" max="13832" width="9.81640625" style="59" bestFit="1" customWidth="1"/>
    <col min="13833" max="13833" width="73.1796875" style="59" customWidth="1"/>
    <col min="13834" max="13834" width="5.453125" style="59" bestFit="1" customWidth="1"/>
    <col min="13835" max="14080" width="12.453125" style="59"/>
    <col min="14081" max="14082" width="3.81640625" style="59" customWidth="1"/>
    <col min="14083" max="14083" width="37.7265625" style="59" bestFit="1" customWidth="1"/>
    <col min="14084" max="14084" width="6.54296875" style="59" bestFit="1" customWidth="1"/>
    <col min="14085" max="14085" width="5.54296875" style="59" bestFit="1" customWidth="1"/>
    <col min="14086" max="14086" width="5.81640625" style="59" bestFit="1" customWidth="1"/>
    <col min="14087" max="14087" width="12.1796875" style="59" bestFit="1" customWidth="1"/>
    <col min="14088" max="14088" width="9.81640625" style="59" bestFit="1" customWidth="1"/>
    <col min="14089" max="14089" width="73.1796875" style="59" customWidth="1"/>
    <col min="14090" max="14090" width="5.453125" style="59" bestFit="1" customWidth="1"/>
    <col min="14091" max="14336" width="12.453125" style="59"/>
    <col min="14337" max="14338" width="3.81640625" style="59" customWidth="1"/>
    <col min="14339" max="14339" width="37.7265625" style="59" bestFit="1" customWidth="1"/>
    <col min="14340" max="14340" width="6.54296875" style="59" bestFit="1" customWidth="1"/>
    <col min="14341" max="14341" width="5.54296875" style="59" bestFit="1" customWidth="1"/>
    <col min="14342" max="14342" width="5.81640625" style="59" bestFit="1" customWidth="1"/>
    <col min="14343" max="14343" width="12.1796875" style="59" bestFit="1" customWidth="1"/>
    <col min="14344" max="14344" width="9.81640625" style="59" bestFit="1" customWidth="1"/>
    <col min="14345" max="14345" width="73.1796875" style="59" customWidth="1"/>
    <col min="14346" max="14346" width="5.453125" style="59" bestFit="1" customWidth="1"/>
    <col min="14347" max="14592" width="12.453125" style="59"/>
    <col min="14593" max="14594" width="3.81640625" style="59" customWidth="1"/>
    <col min="14595" max="14595" width="37.7265625" style="59" bestFit="1" customWidth="1"/>
    <col min="14596" max="14596" width="6.54296875" style="59" bestFit="1" customWidth="1"/>
    <col min="14597" max="14597" width="5.54296875" style="59" bestFit="1" customWidth="1"/>
    <col min="14598" max="14598" width="5.81640625" style="59" bestFit="1" customWidth="1"/>
    <col min="14599" max="14599" width="12.1796875" style="59" bestFit="1" customWidth="1"/>
    <col min="14600" max="14600" width="9.81640625" style="59" bestFit="1" customWidth="1"/>
    <col min="14601" max="14601" width="73.1796875" style="59" customWidth="1"/>
    <col min="14602" max="14602" width="5.453125" style="59" bestFit="1" customWidth="1"/>
    <col min="14603" max="14848" width="12.453125" style="59"/>
    <col min="14849" max="14850" width="3.81640625" style="59" customWidth="1"/>
    <col min="14851" max="14851" width="37.7265625" style="59" bestFit="1" customWidth="1"/>
    <col min="14852" max="14852" width="6.54296875" style="59" bestFit="1" customWidth="1"/>
    <col min="14853" max="14853" width="5.54296875" style="59" bestFit="1" customWidth="1"/>
    <col min="14854" max="14854" width="5.81640625" style="59" bestFit="1" customWidth="1"/>
    <col min="14855" max="14855" width="12.1796875" style="59" bestFit="1" customWidth="1"/>
    <col min="14856" max="14856" width="9.81640625" style="59" bestFit="1" customWidth="1"/>
    <col min="14857" max="14857" width="73.1796875" style="59" customWidth="1"/>
    <col min="14858" max="14858" width="5.453125" style="59" bestFit="1" customWidth="1"/>
    <col min="14859" max="15104" width="12.453125" style="59"/>
    <col min="15105" max="15106" width="3.81640625" style="59" customWidth="1"/>
    <col min="15107" max="15107" width="37.7265625" style="59" bestFit="1" customWidth="1"/>
    <col min="15108" max="15108" width="6.54296875" style="59" bestFit="1" customWidth="1"/>
    <col min="15109" max="15109" width="5.54296875" style="59" bestFit="1" customWidth="1"/>
    <col min="15110" max="15110" width="5.81640625" style="59" bestFit="1" customWidth="1"/>
    <col min="15111" max="15111" width="12.1796875" style="59" bestFit="1" customWidth="1"/>
    <col min="15112" max="15112" width="9.81640625" style="59" bestFit="1" customWidth="1"/>
    <col min="15113" max="15113" width="73.1796875" style="59" customWidth="1"/>
    <col min="15114" max="15114" width="5.453125" style="59" bestFit="1" customWidth="1"/>
    <col min="15115" max="15360" width="12.453125" style="59"/>
    <col min="15361" max="15362" width="3.81640625" style="59" customWidth="1"/>
    <col min="15363" max="15363" width="37.7265625" style="59" bestFit="1" customWidth="1"/>
    <col min="15364" max="15364" width="6.54296875" style="59" bestFit="1" customWidth="1"/>
    <col min="15365" max="15365" width="5.54296875" style="59" bestFit="1" customWidth="1"/>
    <col min="15366" max="15366" width="5.81640625" style="59" bestFit="1" customWidth="1"/>
    <col min="15367" max="15367" width="12.1796875" style="59" bestFit="1" customWidth="1"/>
    <col min="15368" max="15368" width="9.81640625" style="59" bestFit="1" customWidth="1"/>
    <col min="15369" max="15369" width="73.1796875" style="59" customWidth="1"/>
    <col min="15370" max="15370" width="5.453125" style="59" bestFit="1" customWidth="1"/>
    <col min="15371" max="15616" width="12.453125" style="59"/>
    <col min="15617" max="15618" width="3.81640625" style="59" customWidth="1"/>
    <col min="15619" max="15619" width="37.7265625" style="59" bestFit="1" customWidth="1"/>
    <col min="15620" max="15620" width="6.54296875" style="59" bestFit="1" customWidth="1"/>
    <col min="15621" max="15621" width="5.54296875" style="59" bestFit="1" customWidth="1"/>
    <col min="15622" max="15622" width="5.81640625" style="59" bestFit="1" customWidth="1"/>
    <col min="15623" max="15623" width="12.1796875" style="59" bestFit="1" customWidth="1"/>
    <col min="15624" max="15624" width="9.81640625" style="59" bestFit="1" customWidth="1"/>
    <col min="15625" max="15625" width="73.1796875" style="59" customWidth="1"/>
    <col min="15626" max="15626" width="5.453125" style="59" bestFit="1" customWidth="1"/>
    <col min="15627" max="15872" width="12.453125" style="59"/>
    <col min="15873" max="15874" width="3.81640625" style="59" customWidth="1"/>
    <col min="15875" max="15875" width="37.7265625" style="59" bestFit="1" customWidth="1"/>
    <col min="15876" max="15876" width="6.54296875" style="59" bestFit="1" customWidth="1"/>
    <col min="15877" max="15877" width="5.54296875" style="59" bestFit="1" customWidth="1"/>
    <col min="15878" max="15878" width="5.81640625" style="59" bestFit="1" customWidth="1"/>
    <col min="15879" max="15879" width="12.1796875" style="59" bestFit="1" customWidth="1"/>
    <col min="15880" max="15880" width="9.81640625" style="59" bestFit="1" customWidth="1"/>
    <col min="15881" max="15881" width="73.1796875" style="59" customWidth="1"/>
    <col min="15882" max="15882" width="5.453125" style="59" bestFit="1" customWidth="1"/>
    <col min="15883" max="16128" width="12.453125" style="59"/>
    <col min="16129" max="16130" width="3.81640625" style="59" customWidth="1"/>
    <col min="16131" max="16131" width="37.7265625" style="59" bestFit="1" customWidth="1"/>
    <col min="16132" max="16132" width="6.54296875" style="59" bestFit="1" customWidth="1"/>
    <col min="16133" max="16133" width="5.54296875" style="59" bestFit="1" customWidth="1"/>
    <col min="16134" max="16134" width="5.81640625" style="59" bestFit="1" customWidth="1"/>
    <col min="16135" max="16135" width="12.1796875" style="59" bestFit="1" customWidth="1"/>
    <col min="16136" max="16136" width="9.81640625" style="59" bestFit="1" customWidth="1"/>
    <col min="16137" max="16137" width="73.1796875" style="59" customWidth="1"/>
    <col min="16138" max="16138" width="5.453125" style="59" bestFit="1" customWidth="1"/>
    <col min="16139" max="16384" width="12.453125" style="59"/>
  </cols>
  <sheetData>
    <row r="1" spans="2:28">
      <c r="B1" s="57" t="s">
        <v>0</v>
      </c>
      <c r="C1" s="58"/>
      <c r="F1" s="60"/>
    </row>
    <row r="2" spans="2:28">
      <c r="B2" s="60" t="s">
        <v>1</v>
      </c>
    </row>
    <row r="3" spans="2:28">
      <c r="B3" s="60" t="s">
        <v>2</v>
      </c>
    </row>
    <row r="4" spans="2:28" ht="55.5" customHeight="1">
      <c r="B4" s="60"/>
      <c r="I4" s="188" t="s">
        <v>3</v>
      </c>
    </row>
    <row r="5" spans="2:28" ht="11.25" customHeight="1" thickBot="1"/>
    <row r="6" spans="2:28" ht="12.75" customHeight="1">
      <c r="B6" s="63"/>
      <c r="C6" s="64"/>
      <c r="D6" s="65" t="s">
        <v>4</v>
      </c>
      <c r="E6" s="65"/>
      <c r="F6" s="65"/>
      <c r="G6" s="66"/>
      <c r="H6" s="66"/>
      <c r="I6" s="66"/>
      <c r="J6" s="67"/>
      <c r="K6" s="193" t="s">
        <v>347</v>
      </c>
      <c r="L6" s="193"/>
      <c r="M6" s="193"/>
      <c r="N6" s="193"/>
      <c r="O6" s="194" t="s">
        <v>348</v>
      </c>
      <c r="P6" s="194"/>
      <c r="Q6" s="194"/>
      <c r="R6" s="194"/>
      <c r="S6" s="195" t="s">
        <v>349</v>
      </c>
      <c r="T6" s="195"/>
      <c r="U6" s="195"/>
      <c r="V6" s="195"/>
      <c r="W6" s="197" t="s">
        <v>350</v>
      </c>
      <c r="X6" s="196"/>
      <c r="Y6" s="196"/>
      <c r="Z6" s="196"/>
    </row>
    <row r="7" spans="2:28" ht="14.5" thickBot="1">
      <c r="B7" s="68"/>
      <c r="C7" s="69"/>
      <c r="D7" s="70" t="s">
        <v>5</v>
      </c>
      <c r="E7" s="70" t="s">
        <v>6</v>
      </c>
      <c r="F7" s="70" t="s">
        <v>7</v>
      </c>
      <c r="G7" s="70" t="s">
        <v>8</v>
      </c>
      <c r="H7" s="70" t="s">
        <v>9</v>
      </c>
      <c r="I7" s="71" t="s">
        <v>10</v>
      </c>
      <c r="J7" s="72" t="s">
        <v>11</v>
      </c>
      <c r="K7" s="198" t="s">
        <v>351</v>
      </c>
      <c r="L7" s="198" t="s">
        <v>352</v>
      </c>
      <c r="M7" s="71" t="s">
        <v>10</v>
      </c>
      <c r="N7" s="145" t="s">
        <v>11</v>
      </c>
      <c r="O7" s="198" t="s">
        <v>351</v>
      </c>
      <c r="P7" s="198" t="s">
        <v>352</v>
      </c>
      <c r="Q7" s="71" t="s">
        <v>10</v>
      </c>
      <c r="R7" s="145" t="s">
        <v>11</v>
      </c>
      <c r="S7" s="198" t="s">
        <v>351</v>
      </c>
      <c r="T7" s="198" t="s">
        <v>352</v>
      </c>
      <c r="U7" s="71" t="s">
        <v>10</v>
      </c>
      <c r="V7" s="72" t="s">
        <v>11</v>
      </c>
      <c r="W7" s="198" t="s">
        <v>351</v>
      </c>
      <c r="X7" s="198" t="s">
        <v>352</v>
      </c>
      <c r="Y7" s="71" t="s">
        <v>10</v>
      </c>
      <c r="Z7" s="72" t="s">
        <v>11</v>
      </c>
      <c r="AA7" s="198" t="s">
        <v>351</v>
      </c>
      <c r="AB7" s="198" t="s">
        <v>352</v>
      </c>
    </row>
    <row r="8" spans="2:28">
      <c r="B8" s="73">
        <v>1</v>
      </c>
      <c r="C8" s="74" t="s">
        <v>12</v>
      </c>
      <c r="D8" s="75">
        <v>1</v>
      </c>
      <c r="E8" s="75">
        <f>+D8+F8-1</f>
        <v>4</v>
      </c>
      <c r="F8" s="75">
        <v>4</v>
      </c>
      <c r="G8" s="76" t="s">
        <v>13</v>
      </c>
      <c r="H8" s="75" t="s">
        <v>14</v>
      </c>
      <c r="I8" s="189" t="s">
        <v>15</v>
      </c>
      <c r="J8" s="78" t="s">
        <v>16</v>
      </c>
      <c r="K8" t="str">
        <f>IF($I8=M8,"OK","NO")</f>
        <v>OK</v>
      </c>
      <c r="L8" t="str">
        <f>IF($J8=N8,"OK","NO")</f>
        <v>OK</v>
      </c>
      <c r="M8" s="189" t="s">
        <v>15</v>
      </c>
      <c r="N8" s="146" t="s">
        <v>16</v>
      </c>
      <c r="O8" t="str">
        <f>IF($I8=Q8,"OK","NO")</f>
        <v>OK</v>
      </c>
      <c r="P8" t="str">
        <f>IF($J8=R8,"OK","NO")</f>
        <v>OK</v>
      </c>
      <c r="Q8" s="189" t="s">
        <v>15</v>
      </c>
      <c r="R8" s="146" t="s">
        <v>16</v>
      </c>
      <c r="S8" t="str">
        <f>IF($I8=U8,"OK","NO")</f>
        <v>OK</v>
      </c>
      <c r="T8" t="str">
        <f>IF($J8=V8,"OK","NO")</f>
        <v>OK</v>
      </c>
      <c r="U8" s="189" t="s">
        <v>15</v>
      </c>
      <c r="V8" s="146" t="s">
        <v>16</v>
      </c>
      <c r="W8" t="str">
        <f>IF($I8=Y8,"OK","NO")</f>
        <v>OK</v>
      </c>
      <c r="X8" t="str">
        <f>IF($J8=Z8,"OK","NO")</f>
        <v>OK</v>
      </c>
      <c r="Y8" s="189" t="s">
        <v>15</v>
      </c>
      <c r="Z8" s="78" t="s">
        <v>16</v>
      </c>
      <c r="AA8" t="str">
        <f>IF(AND(I8=M8,I8=Q8,I8=U8,I8=Y8),"FULL","PARTIAL")</f>
        <v>FULL</v>
      </c>
      <c r="AB8" t="str">
        <f>IF(AND(J8=N8,J8=R8,J8=V8,J8=Z8),"FULL","PARTIAL")</f>
        <v>FULL</v>
      </c>
    </row>
    <row r="9" spans="2:28">
      <c r="B9" s="79">
        <v>2</v>
      </c>
      <c r="C9" s="80" t="s">
        <v>17</v>
      </c>
      <c r="D9" s="81">
        <f>+E8+1</f>
        <v>5</v>
      </c>
      <c r="E9" s="81">
        <f>+D9+F9-1</f>
        <v>8</v>
      </c>
      <c r="F9" s="81">
        <v>4</v>
      </c>
      <c r="G9" s="82" t="s">
        <v>13</v>
      </c>
      <c r="H9" s="81" t="s">
        <v>14</v>
      </c>
      <c r="I9" s="83" t="s">
        <v>18</v>
      </c>
      <c r="J9" s="84" t="s">
        <v>16</v>
      </c>
      <c r="K9" t="str">
        <f t="shared" ref="K9:K72" si="0">IF($I9=M9,"OK","NO")</f>
        <v>OK</v>
      </c>
      <c r="L9" t="str">
        <f t="shared" ref="L9:L72" si="1">IF($J9=N9,"OK","NO")</f>
        <v>OK</v>
      </c>
      <c r="M9" s="83" t="s">
        <v>18</v>
      </c>
      <c r="N9" s="115" t="s">
        <v>16</v>
      </c>
      <c r="O9" t="str">
        <f t="shared" ref="O9:O72" si="2">IF($I9=Q9,"OK","NO")</f>
        <v>OK</v>
      </c>
      <c r="P9" t="str">
        <f t="shared" ref="P9:P72" si="3">IF($J9=R9,"OK","NO")</f>
        <v>OK</v>
      </c>
      <c r="Q9" s="83" t="s">
        <v>18</v>
      </c>
      <c r="R9" s="115" t="s">
        <v>16</v>
      </c>
      <c r="S9" t="str">
        <f t="shared" ref="S9:S72" si="4">IF($I9=U9,"OK","NO")</f>
        <v>OK</v>
      </c>
      <c r="T9" t="str">
        <f t="shared" ref="T9:T72" si="5">IF($J9=V9,"OK","NO")</f>
        <v>OK</v>
      </c>
      <c r="U9" s="83" t="s">
        <v>18</v>
      </c>
      <c r="V9" s="115" t="s">
        <v>16</v>
      </c>
      <c r="W9" t="str">
        <f t="shared" ref="W9:W72" si="6">IF($I9=Y9,"OK","NO")</f>
        <v>OK</v>
      </c>
      <c r="X9" t="str">
        <f t="shared" ref="X9:X72" si="7">IF($J9=Z9,"OK","NO")</f>
        <v>OK</v>
      </c>
      <c r="Y9" s="83" t="s">
        <v>18</v>
      </c>
      <c r="Z9" s="84" t="s">
        <v>16</v>
      </c>
      <c r="AA9" t="str">
        <f t="shared" ref="AA9:AA72" si="8">IF(AND(I9=M9,I9=Q9,I9=U9,I9=Y9),"FULL","PARTIAL")</f>
        <v>FULL</v>
      </c>
      <c r="AB9" t="str">
        <f t="shared" ref="AB9:AB72" si="9">IF(AND(J9=N9,J9=R9,J9=V9,J9=Z9),"FULL","PARTIAL")</f>
        <v>FULL</v>
      </c>
    </row>
    <row r="10" spans="2:28">
      <c r="B10" s="79">
        <v>3</v>
      </c>
      <c r="C10" s="80" t="s">
        <v>19</v>
      </c>
      <c r="D10" s="81">
        <f t="shared" ref="D10:D71" si="10">+E9+1</f>
        <v>9</v>
      </c>
      <c r="E10" s="81">
        <f t="shared" ref="E10:E35" si="11">+D10+F10-1</f>
        <v>15</v>
      </c>
      <c r="F10" s="81">
        <v>7</v>
      </c>
      <c r="G10" s="82" t="s">
        <v>13</v>
      </c>
      <c r="H10" s="81" t="s">
        <v>14</v>
      </c>
      <c r="I10" s="83" t="s">
        <v>20</v>
      </c>
      <c r="J10" s="84" t="s">
        <v>16</v>
      </c>
      <c r="K10" t="str">
        <f t="shared" si="0"/>
        <v>OK</v>
      </c>
      <c r="L10" t="str">
        <f t="shared" si="1"/>
        <v>OK</v>
      </c>
      <c r="M10" s="83" t="s">
        <v>20</v>
      </c>
      <c r="N10" s="115" t="s">
        <v>16</v>
      </c>
      <c r="O10" t="str">
        <f t="shared" si="2"/>
        <v>OK</v>
      </c>
      <c r="P10" t="str">
        <f t="shared" si="3"/>
        <v>OK</v>
      </c>
      <c r="Q10" s="83" t="s">
        <v>20</v>
      </c>
      <c r="R10" s="115" t="s">
        <v>16</v>
      </c>
      <c r="S10" t="str">
        <f t="shared" si="4"/>
        <v>OK</v>
      </c>
      <c r="T10" t="str">
        <f t="shared" si="5"/>
        <v>OK</v>
      </c>
      <c r="U10" s="83" t="s">
        <v>20</v>
      </c>
      <c r="V10" s="115" t="s">
        <v>16</v>
      </c>
      <c r="W10" t="str">
        <f t="shared" si="6"/>
        <v>OK</v>
      </c>
      <c r="X10" t="str">
        <f t="shared" si="7"/>
        <v>OK</v>
      </c>
      <c r="Y10" s="83" t="s">
        <v>20</v>
      </c>
      <c r="Z10" s="84" t="s">
        <v>16</v>
      </c>
      <c r="AA10" t="str">
        <f t="shared" si="8"/>
        <v>FULL</v>
      </c>
      <c r="AB10" t="str">
        <f t="shared" si="9"/>
        <v>FULL</v>
      </c>
    </row>
    <row r="11" spans="2:28">
      <c r="B11" s="79">
        <v>4</v>
      </c>
      <c r="C11" s="80" t="s">
        <v>21</v>
      </c>
      <c r="D11" s="81">
        <f t="shared" si="10"/>
        <v>16</v>
      </c>
      <c r="E11" s="81">
        <f t="shared" si="11"/>
        <v>22</v>
      </c>
      <c r="F11" s="81">
        <v>7</v>
      </c>
      <c r="G11" s="82" t="s">
        <v>13</v>
      </c>
      <c r="H11" s="81" t="s">
        <v>14</v>
      </c>
      <c r="I11" s="83" t="s">
        <v>22</v>
      </c>
      <c r="J11" s="84" t="s">
        <v>16</v>
      </c>
      <c r="K11" t="str">
        <f t="shared" si="0"/>
        <v>OK</v>
      </c>
      <c r="L11" t="str">
        <f t="shared" si="1"/>
        <v>OK</v>
      </c>
      <c r="M11" s="83" t="s">
        <v>22</v>
      </c>
      <c r="N11" s="115" t="s">
        <v>16</v>
      </c>
      <c r="O11" t="str">
        <f t="shared" si="2"/>
        <v>OK</v>
      </c>
      <c r="P11" t="str">
        <f t="shared" si="3"/>
        <v>OK</v>
      </c>
      <c r="Q11" s="83" t="s">
        <v>22</v>
      </c>
      <c r="R11" s="115" t="s">
        <v>16</v>
      </c>
      <c r="S11" t="str">
        <f t="shared" si="4"/>
        <v>OK</v>
      </c>
      <c r="T11" t="str">
        <f t="shared" si="5"/>
        <v>OK</v>
      </c>
      <c r="U11" s="83" t="s">
        <v>22</v>
      </c>
      <c r="V11" s="115" t="s">
        <v>16</v>
      </c>
      <c r="W11" t="str">
        <f t="shared" si="6"/>
        <v>OK</v>
      </c>
      <c r="X11" t="str">
        <f t="shared" si="7"/>
        <v>OK</v>
      </c>
      <c r="Y11" s="83" t="s">
        <v>22</v>
      </c>
      <c r="Z11" s="84" t="s">
        <v>16</v>
      </c>
      <c r="AA11" t="str">
        <f t="shared" si="8"/>
        <v>FULL</v>
      </c>
      <c r="AB11" t="str">
        <f t="shared" si="9"/>
        <v>FULL</v>
      </c>
    </row>
    <row r="12" spans="2:28" ht="14.5">
      <c r="B12" s="85">
        <v>5</v>
      </c>
      <c r="C12" s="86" t="s">
        <v>23</v>
      </c>
      <c r="D12" s="87">
        <f t="shared" si="10"/>
        <v>23</v>
      </c>
      <c r="E12" s="87">
        <f t="shared" si="11"/>
        <v>25</v>
      </c>
      <c r="F12" s="87">
        <v>3</v>
      </c>
      <c r="G12" s="88" t="s">
        <v>13</v>
      </c>
      <c r="H12" s="87" t="s">
        <v>14</v>
      </c>
      <c r="I12" s="89" t="s">
        <v>24</v>
      </c>
      <c r="J12" s="84" t="s">
        <v>25</v>
      </c>
      <c r="K12" t="str">
        <f t="shared" si="0"/>
        <v>OK</v>
      </c>
      <c r="L12" t="str">
        <f t="shared" si="1"/>
        <v>OK</v>
      </c>
      <c r="M12" s="103" t="s">
        <v>24</v>
      </c>
      <c r="N12" s="115" t="s">
        <v>25</v>
      </c>
      <c r="O12" t="str">
        <f t="shared" si="2"/>
        <v>OK</v>
      </c>
      <c r="P12" t="str">
        <f t="shared" si="3"/>
        <v>OK</v>
      </c>
      <c r="Q12" s="89" t="s">
        <v>24</v>
      </c>
      <c r="R12" s="115" t="s">
        <v>25</v>
      </c>
      <c r="S12" t="str">
        <f t="shared" si="4"/>
        <v>OK</v>
      </c>
      <c r="T12" t="str">
        <f t="shared" si="5"/>
        <v>OK</v>
      </c>
      <c r="U12" s="103" t="s">
        <v>24</v>
      </c>
      <c r="V12" s="115" t="s">
        <v>25</v>
      </c>
      <c r="W12" t="str">
        <f t="shared" si="6"/>
        <v>OK</v>
      </c>
      <c r="X12" t="str">
        <f t="shared" si="7"/>
        <v>OK</v>
      </c>
      <c r="Y12" s="89" t="s">
        <v>24</v>
      </c>
      <c r="Z12" s="84" t="s">
        <v>25</v>
      </c>
      <c r="AA12" t="str">
        <f t="shared" si="8"/>
        <v>FULL</v>
      </c>
      <c r="AB12" t="str">
        <f t="shared" si="9"/>
        <v>FULL</v>
      </c>
    </row>
    <row r="13" spans="2:28">
      <c r="B13" s="79">
        <v>6</v>
      </c>
      <c r="C13" s="80" t="s">
        <v>26</v>
      </c>
      <c r="D13" s="81">
        <f t="shared" si="10"/>
        <v>26</v>
      </c>
      <c r="E13" s="81">
        <f t="shared" si="11"/>
        <v>33</v>
      </c>
      <c r="F13" s="81">
        <v>8</v>
      </c>
      <c r="G13" s="82" t="s">
        <v>27</v>
      </c>
      <c r="H13" s="81" t="s">
        <v>14</v>
      </c>
      <c r="I13" s="83" t="s">
        <v>28</v>
      </c>
      <c r="J13" s="84" t="s">
        <v>16</v>
      </c>
      <c r="K13" t="str">
        <f t="shared" si="0"/>
        <v>OK</v>
      </c>
      <c r="L13" t="str">
        <f t="shared" si="1"/>
        <v>OK</v>
      </c>
      <c r="M13" s="83" t="s">
        <v>28</v>
      </c>
      <c r="N13" s="115" t="s">
        <v>16</v>
      </c>
      <c r="O13" t="str">
        <f t="shared" si="2"/>
        <v>OK</v>
      </c>
      <c r="P13" t="str">
        <f t="shared" si="3"/>
        <v>OK</v>
      </c>
      <c r="Q13" s="83" t="s">
        <v>28</v>
      </c>
      <c r="R13" s="115" t="s">
        <v>16</v>
      </c>
      <c r="S13" t="str">
        <f t="shared" si="4"/>
        <v>OK</v>
      </c>
      <c r="T13" t="str">
        <f t="shared" si="5"/>
        <v>OK</v>
      </c>
      <c r="U13" s="83" t="s">
        <v>28</v>
      </c>
      <c r="V13" s="115" t="s">
        <v>16</v>
      </c>
      <c r="W13" t="str">
        <f t="shared" si="6"/>
        <v>OK</v>
      </c>
      <c r="X13" t="str">
        <f t="shared" si="7"/>
        <v>OK</v>
      </c>
      <c r="Y13" s="83" t="s">
        <v>28</v>
      </c>
      <c r="Z13" s="84" t="s">
        <v>16</v>
      </c>
      <c r="AA13" t="str">
        <f t="shared" si="8"/>
        <v>FULL</v>
      </c>
      <c r="AB13" t="str">
        <f t="shared" si="9"/>
        <v>FULL</v>
      </c>
    </row>
    <row r="14" spans="2:28" ht="38.25" customHeight="1">
      <c r="B14" s="91">
        <v>7</v>
      </c>
      <c r="C14" s="80" t="s">
        <v>29</v>
      </c>
      <c r="D14" s="81">
        <f t="shared" si="10"/>
        <v>34</v>
      </c>
      <c r="E14" s="81">
        <f t="shared" si="11"/>
        <v>41</v>
      </c>
      <c r="F14" s="81">
        <v>8</v>
      </c>
      <c r="G14" s="82" t="s">
        <v>27</v>
      </c>
      <c r="H14" s="81" t="s">
        <v>14</v>
      </c>
      <c r="I14" s="190" t="s">
        <v>30</v>
      </c>
      <c r="J14" s="93" t="s">
        <v>16</v>
      </c>
      <c r="K14" t="str">
        <f t="shared" si="0"/>
        <v>NO</v>
      </c>
      <c r="L14" t="str">
        <f t="shared" si="1"/>
        <v>OK</v>
      </c>
      <c r="M14" s="190" t="s">
        <v>353</v>
      </c>
      <c r="N14" s="148" t="s">
        <v>16</v>
      </c>
      <c r="O14" t="str">
        <f t="shared" si="2"/>
        <v>NO</v>
      </c>
      <c r="P14" t="str">
        <f t="shared" si="3"/>
        <v>OK</v>
      </c>
      <c r="Q14" s="190" t="s">
        <v>354</v>
      </c>
      <c r="R14" s="148" t="s">
        <v>16</v>
      </c>
      <c r="S14" t="str">
        <f t="shared" si="4"/>
        <v>OK</v>
      </c>
      <c r="T14" t="str">
        <f t="shared" si="5"/>
        <v>OK</v>
      </c>
      <c r="U14" s="190" t="s">
        <v>30</v>
      </c>
      <c r="V14" s="148" t="s">
        <v>16</v>
      </c>
      <c r="W14" t="str">
        <f t="shared" si="6"/>
        <v>OK</v>
      </c>
      <c r="X14" t="str">
        <f t="shared" si="7"/>
        <v>OK</v>
      </c>
      <c r="Y14" s="190" t="s">
        <v>30</v>
      </c>
      <c r="Z14" s="93" t="s">
        <v>16</v>
      </c>
      <c r="AA14" t="str">
        <f t="shared" si="8"/>
        <v>PARTIAL</v>
      </c>
      <c r="AB14" t="str">
        <f t="shared" si="9"/>
        <v>FULL</v>
      </c>
    </row>
    <row r="15" spans="2:28">
      <c r="B15" s="79">
        <v>8</v>
      </c>
      <c r="C15" s="94" t="s">
        <v>31</v>
      </c>
      <c r="D15" s="95">
        <f t="shared" si="10"/>
        <v>42</v>
      </c>
      <c r="E15" s="95">
        <f t="shared" si="11"/>
        <v>42</v>
      </c>
      <c r="F15" s="95">
        <v>1</v>
      </c>
      <c r="G15" s="96" t="s">
        <v>13</v>
      </c>
      <c r="H15" s="95" t="s">
        <v>14</v>
      </c>
      <c r="I15" s="97" t="s">
        <v>32</v>
      </c>
      <c r="J15" s="84" t="s">
        <v>16</v>
      </c>
      <c r="K15" t="str">
        <f t="shared" si="0"/>
        <v>NO</v>
      </c>
      <c r="L15" t="str">
        <f t="shared" si="1"/>
        <v>OK</v>
      </c>
      <c r="M15" s="97" t="s">
        <v>355</v>
      </c>
      <c r="N15" s="115" t="s">
        <v>16</v>
      </c>
      <c r="O15" t="str">
        <f t="shared" si="2"/>
        <v>NO</v>
      </c>
      <c r="P15" t="str">
        <f t="shared" si="3"/>
        <v>OK</v>
      </c>
      <c r="Q15" s="97" t="s">
        <v>355</v>
      </c>
      <c r="R15" s="115" t="s">
        <v>16</v>
      </c>
      <c r="S15" t="str">
        <f t="shared" si="4"/>
        <v>NO</v>
      </c>
      <c r="T15" t="str">
        <f t="shared" si="5"/>
        <v>OK</v>
      </c>
      <c r="U15" s="97" t="s">
        <v>356</v>
      </c>
      <c r="V15" s="115" t="s">
        <v>16</v>
      </c>
      <c r="W15" t="str">
        <f t="shared" si="6"/>
        <v>OK</v>
      </c>
      <c r="X15" t="str">
        <f t="shared" si="7"/>
        <v>OK</v>
      </c>
      <c r="Y15" s="97" t="s">
        <v>32</v>
      </c>
      <c r="Z15" s="84" t="s">
        <v>16</v>
      </c>
      <c r="AA15" t="str">
        <f t="shared" si="8"/>
        <v>PARTIAL</v>
      </c>
      <c r="AB15" t="str">
        <f t="shared" si="9"/>
        <v>FULL</v>
      </c>
    </row>
    <row r="16" spans="2:28">
      <c r="B16" s="79">
        <v>9</v>
      </c>
      <c r="C16" s="94" t="s">
        <v>33</v>
      </c>
      <c r="D16" s="95">
        <f t="shared" si="10"/>
        <v>43</v>
      </c>
      <c r="E16" s="95">
        <f t="shared" si="11"/>
        <v>43</v>
      </c>
      <c r="F16" s="95">
        <v>1</v>
      </c>
      <c r="G16" s="96" t="s">
        <v>13</v>
      </c>
      <c r="H16" s="95" t="s">
        <v>14</v>
      </c>
      <c r="I16" s="97" t="s">
        <v>34</v>
      </c>
      <c r="J16" s="84" t="s">
        <v>16</v>
      </c>
      <c r="K16" t="str">
        <f t="shared" si="0"/>
        <v>NO</v>
      </c>
      <c r="L16" t="str">
        <f t="shared" si="1"/>
        <v>OK</v>
      </c>
      <c r="M16" s="97" t="s">
        <v>357</v>
      </c>
      <c r="N16" s="115" t="s">
        <v>16</v>
      </c>
      <c r="O16" t="str">
        <f t="shared" si="2"/>
        <v>NO</v>
      </c>
      <c r="P16" t="str">
        <f t="shared" si="3"/>
        <v>OK</v>
      </c>
      <c r="Q16" s="97" t="s">
        <v>358</v>
      </c>
      <c r="R16" s="115" t="s">
        <v>16</v>
      </c>
      <c r="S16" t="str">
        <f t="shared" si="4"/>
        <v>NO</v>
      </c>
      <c r="T16" t="str">
        <f t="shared" si="5"/>
        <v>OK</v>
      </c>
      <c r="U16" s="97" t="s">
        <v>359</v>
      </c>
      <c r="V16" s="115" t="s">
        <v>16</v>
      </c>
      <c r="W16" t="str">
        <f t="shared" si="6"/>
        <v>OK</v>
      </c>
      <c r="X16" t="str">
        <f t="shared" si="7"/>
        <v>OK</v>
      </c>
      <c r="Y16" s="97" t="s">
        <v>34</v>
      </c>
      <c r="Z16" s="84" t="s">
        <v>16</v>
      </c>
      <c r="AA16" t="str">
        <f t="shared" si="8"/>
        <v>PARTIAL</v>
      </c>
      <c r="AB16" t="str">
        <f t="shared" si="9"/>
        <v>FULL</v>
      </c>
    </row>
    <row r="17" spans="2:28">
      <c r="B17" s="79">
        <v>10</v>
      </c>
      <c r="C17" s="80" t="s">
        <v>35</v>
      </c>
      <c r="D17" s="81">
        <f t="shared" si="10"/>
        <v>44</v>
      </c>
      <c r="E17" s="81">
        <f t="shared" si="11"/>
        <v>50</v>
      </c>
      <c r="F17" s="81">
        <v>7</v>
      </c>
      <c r="G17" s="82" t="s">
        <v>13</v>
      </c>
      <c r="H17" s="81" t="s">
        <v>14</v>
      </c>
      <c r="I17" s="83" t="s">
        <v>36</v>
      </c>
      <c r="J17" s="84" t="s">
        <v>16</v>
      </c>
      <c r="K17" t="str">
        <f t="shared" si="0"/>
        <v>OK</v>
      </c>
      <c r="L17" t="str">
        <f t="shared" si="1"/>
        <v>OK</v>
      </c>
      <c r="M17" s="83" t="s">
        <v>36</v>
      </c>
      <c r="N17" s="115" t="s">
        <v>16</v>
      </c>
      <c r="O17" t="str">
        <f t="shared" si="2"/>
        <v>OK</v>
      </c>
      <c r="P17" t="str">
        <f t="shared" si="3"/>
        <v>OK</v>
      </c>
      <c r="Q17" s="83" t="s">
        <v>36</v>
      </c>
      <c r="R17" s="115" t="s">
        <v>16</v>
      </c>
      <c r="S17" t="str">
        <f t="shared" si="4"/>
        <v>OK</v>
      </c>
      <c r="T17" t="str">
        <f t="shared" si="5"/>
        <v>OK</v>
      </c>
      <c r="U17" s="83" t="s">
        <v>36</v>
      </c>
      <c r="V17" s="115" t="s">
        <v>16</v>
      </c>
      <c r="W17" t="str">
        <f t="shared" si="6"/>
        <v>OK</v>
      </c>
      <c r="X17" t="str">
        <f t="shared" si="7"/>
        <v>OK</v>
      </c>
      <c r="Y17" s="83" t="s">
        <v>36</v>
      </c>
      <c r="Z17" s="84" t="s">
        <v>16</v>
      </c>
      <c r="AA17" t="str">
        <f t="shared" si="8"/>
        <v>FULL</v>
      </c>
      <c r="AB17" t="str">
        <f t="shared" si="9"/>
        <v>FULL</v>
      </c>
    </row>
    <row r="18" spans="2:28">
      <c r="B18" s="79">
        <v>11</v>
      </c>
      <c r="C18" s="80" t="s">
        <v>37</v>
      </c>
      <c r="D18" s="81">
        <f t="shared" si="10"/>
        <v>51</v>
      </c>
      <c r="E18" s="81">
        <f t="shared" si="11"/>
        <v>64</v>
      </c>
      <c r="F18" s="81">
        <v>14</v>
      </c>
      <c r="G18" s="82" t="s">
        <v>38</v>
      </c>
      <c r="H18" s="81" t="s">
        <v>39</v>
      </c>
      <c r="I18" s="83" t="s">
        <v>40</v>
      </c>
      <c r="J18" s="84" t="s">
        <v>16</v>
      </c>
      <c r="K18" t="str">
        <f t="shared" si="0"/>
        <v>OK</v>
      </c>
      <c r="L18" t="str">
        <f t="shared" si="1"/>
        <v>OK</v>
      </c>
      <c r="M18" s="83" t="s">
        <v>40</v>
      </c>
      <c r="N18" s="115" t="s">
        <v>16</v>
      </c>
      <c r="O18" t="str">
        <f t="shared" si="2"/>
        <v>OK</v>
      </c>
      <c r="P18" t="str">
        <f t="shared" si="3"/>
        <v>OK</v>
      </c>
      <c r="Q18" s="83" t="s">
        <v>40</v>
      </c>
      <c r="R18" s="115" t="s">
        <v>16</v>
      </c>
      <c r="S18" t="str">
        <f t="shared" si="4"/>
        <v>OK</v>
      </c>
      <c r="T18" t="str">
        <f t="shared" si="5"/>
        <v>OK</v>
      </c>
      <c r="U18" s="83" t="s">
        <v>40</v>
      </c>
      <c r="V18" s="115" t="s">
        <v>16</v>
      </c>
      <c r="W18" t="str">
        <f t="shared" si="6"/>
        <v>OK</v>
      </c>
      <c r="X18" t="str">
        <f t="shared" si="7"/>
        <v>OK</v>
      </c>
      <c r="Y18" s="83" t="s">
        <v>40</v>
      </c>
      <c r="Z18" s="84" t="s">
        <v>16</v>
      </c>
      <c r="AA18" t="str">
        <f t="shared" si="8"/>
        <v>FULL</v>
      </c>
      <c r="AB18" t="str">
        <f t="shared" si="9"/>
        <v>FULL</v>
      </c>
    </row>
    <row r="19" spans="2:28">
      <c r="B19" s="79">
        <v>12</v>
      </c>
      <c r="C19" s="80" t="s">
        <v>41</v>
      </c>
      <c r="D19" s="81">
        <f t="shared" si="10"/>
        <v>65</v>
      </c>
      <c r="E19" s="81">
        <f t="shared" si="11"/>
        <v>80</v>
      </c>
      <c r="F19" s="81">
        <v>16</v>
      </c>
      <c r="G19" s="82" t="s">
        <v>42</v>
      </c>
      <c r="H19" s="81" t="s">
        <v>39</v>
      </c>
      <c r="I19" s="83" t="s">
        <v>43</v>
      </c>
      <c r="J19" s="84" t="s">
        <v>16</v>
      </c>
      <c r="K19" t="str">
        <f t="shared" si="0"/>
        <v>OK</v>
      </c>
      <c r="L19" t="str">
        <f t="shared" si="1"/>
        <v>OK</v>
      </c>
      <c r="M19" s="83" t="s">
        <v>43</v>
      </c>
      <c r="N19" s="115" t="s">
        <v>16</v>
      </c>
      <c r="O19" t="str">
        <f t="shared" si="2"/>
        <v>OK</v>
      </c>
      <c r="P19" t="str">
        <f t="shared" si="3"/>
        <v>OK</v>
      </c>
      <c r="Q19" s="83" t="s">
        <v>43</v>
      </c>
      <c r="R19" s="115" t="s">
        <v>16</v>
      </c>
      <c r="S19" t="str">
        <f t="shared" si="4"/>
        <v>OK</v>
      </c>
      <c r="T19" t="str">
        <f t="shared" si="5"/>
        <v>OK</v>
      </c>
      <c r="U19" s="83" t="s">
        <v>43</v>
      </c>
      <c r="V19" s="115" t="s">
        <v>16</v>
      </c>
      <c r="W19" t="str">
        <f t="shared" si="6"/>
        <v>OK</v>
      </c>
      <c r="X19" t="str">
        <f t="shared" si="7"/>
        <v>OK</v>
      </c>
      <c r="Y19" s="83" t="s">
        <v>43</v>
      </c>
      <c r="Z19" s="84" t="s">
        <v>16</v>
      </c>
      <c r="AA19" t="str">
        <f t="shared" si="8"/>
        <v>FULL</v>
      </c>
      <c r="AB19" t="str">
        <f t="shared" si="9"/>
        <v>FULL</v>
      </c>
    </row>
    <row r="20" spans="2:28">
      <c r="B20" s="79">
        <v>13</v>
      </c>
      <c r="C20" s="80" t="s">
        <v>44</v>
      </c>
      <c r="D20" s="81">
        <f t="shared" si="10"/>
        <v>81</v>
      </c>
      <c r="E20" s="81">
        <f t="shared" si="11"/>
        <v>94</v>
      </c>
      <c r="F20" s="81">
        <v>14</v>
      </c>
      <c r="G20" s="82" t="s">
        <v>45</v>
      </c>
      <c r="H20" s="81" t="s">
        <v>14</v>
      </c>
      <c r="I20" s="83" t="s">
        <v>46</v>
      </c>
      <c r="J20" s="84" t="s">
        <v>16</v>
      </c>
      <c r="K20" t="str">
        <f t="shared" si="0"/>
        <v>OK</v>
      </c>
      <c r="L20" t="str">
        <f t="shared" si="1"/>
        <v>NO</v>
      </c>
      <c r="M20" s="103" t="s">
        <v>360</v>
      </c>
      <c r="N20" s="115" t="s">
        <v>25</v>
      </c>
      <c r="O20" t="str">
        <f t="shared" si="2"/>
        <v>OK</v>
      </c>
      <c r="P20" t="str">
        <f t="shared" si="3"/>
        <v>NO</v>
      </c>
      <c r="Q20" s="103" t="s">
        <v>360</v>
      </c>
      <c r="R20" s="115" t="s">
        <v>25</v>
      </c>
      <c r="S20" t="str">
        <f t="shared" si="4"/>
        <v>OK</v>
      </c>
      <c r="T20" t="str">
        <f t="shared" si="5"/>
        <v>OK</v>
      </c>
      <c r="U20" s="181" t="s">
        <v>46</v>
      </c>
      <c r="V20" s="182" t="s">
        <v>16</v>
      </c>
      <c r="W20" t="str">
        <f t="shared" si="6"/>
        <v>OK</v>
      </c>
      <c r="X20" t="str">
        <f t="shared" si="7"/>
        <v>OK</v>
      </c>
      <c r="Y20" s="83" t="s">
        <v>46</v>
      </c>
      <c r="Z20" s="84" t="s">
        <v>16</v>
      </c>
      <c r="AA20" t="str">
        <f t="shared" si="8"/>
        <v>FULL</v>
      </c>
      <c r="AB20" t="str">
        <f t="shared" si="9"/>
        <v>PARTIAL</v>
      </c>
    </row>
    <row r="21" spans="2:28">
      <c r="B21" s="79">
        <v>14</v>
      </c>
      <c r="C21" s="80" t="s">
        <v>47</v>
      </c>
      <c r="D21" s="81">
        <f t="shared" si="10"/>
        <v>95</v>
      </c>
      <c r="E21" s="81">
        <f t="shared" si="11"/>
        <v>108</v>
      </c>
      <c r="F21" s="81">
        <v>14</v>
      </c>
      <c r="G21" s="82" t="s">
        <v>45</v>
      </c>
      <c r="H21" s="81" t="s">
        <v>14</v>
      </c>
      <c r="I21" s="83" t="s">
        <v>48</v>
      </c>
      <c r="J21" s="84" t="s">
        <v>16</v>
      </c>
      <c r="K21" t="str">
        <f t="shared" si="0"/>
        <v>OK</v>
      </c>
      <c r="L21" t="str">
        <f t="shared" si="1"/>
        <v>NO</v>
      </c>
      <c r="M21" s="103" t="s">
        <v>361</v>
      </c>
      <c r="N21" s="115" t="s">
        <v>25</v>
      </c>
      <c r="O21" t="str">
        <f t="shared" si="2"/>
        <v>OK</v>
      </c>
      <c r="P21" t="str">
        <f t="shared" si="3"/>
        <v>NO</v>
      </c>
      <c r="Q21" s="103" t="s">
        <v>361</v>
      </c>
      <c r="R21" s="115" t="s">
        <v>25</v>
      </c>
      <c r="S21" t="str">
        <f t="shared" si="4"/>
        <v>OK</v>
      </c>
      <c r="T21" t="str">
        <f t="shared" si="5"/>
        <v>OK</v>
      </c>
      <c r="U21" s="181" t="s">
        <v>48</v>
      </c>
      <c r="V21" s="182" t="s">
        <v>16</v>
      </c>
      <c r="W21" t="str">
        <f t="shared" si="6"/>
        <v>OK</v>
      </c>
      <c r="X21" t="str">
        <f t="shared" si="7"/>
        <v>OK</v>
      </c>
      <c r="Y21" s="83" t="s">
        <v>48</v>
      </c>
      <c r="Z21" s="84" t="s">
        <v>16</v>
      </c>
      <c r="AA21" t="str">
        <f t="shared" si="8"/>
        <v>FULL</v>
      </c>
      <c r="AB21" t="str">
        <f t="shared" si="9"/>
        <v>PARTIAL</v>
      </c>
    </row>
    <row r="22" spans="2:28">
      <c r="B22" s="79">
        <v>15</v>
      </c>
      <c r="C22" s="94" t="s">
        <v>49</v>
      </c>
      <c r="D22" s="95">
        <f t="shared" si="10"/>
        <v>109</v>
      </c>
      <c r="E22" s="95">
        <f t="shared" si="11"/>
        <v>116</v>
      </c>
      <c r="F22" s="95">
        <v>8</v>
      </c>
      <c r="G22" s="96" t="s">
        <v>27</v>
      </c>
      <c r="H22" s="95" t="s">
        <v>14</v>
      </c>
      <c r="I22" s="98" t="s">
        <v>50</v>
      </c>
      <c r="J22" s="84" t="s">
        <v>16</v>
      </c>
      <c r="K22" t="str">
        <f t="shared" si="0"/>
        <v>OK</v>
      </c>
      <c r="L22" t="str">
        <f t="shared" si="1"/>
        <v>NO</v>
      </c>
      <c r="M22" s="152" t="s">
        <v>50</v>
      </c>
      <c r="N22" s="115" t="s">
        <v>25</v>
      </c>
      <c r="O22" t="str">
        <f t="shared" si="2"/>
        <v>OK</v>
      </c>
      <c r="P22" t="str">
        <f t="shared" si="3"/>
        <v>OK</v>
      </c>
      <c r="Q22" s="98" t="s">
        <v>50</v>
      </c>
      <c r="R22" s="115" t="s">
        <v>16</v>
      </c>
      <c r="S22" t="str">
        <f t="shared" si="4"/>
        <v>OK</v>
      </c>
      <c r="T22" t="str">
        <f t="shared" si="5"/>
        <v>NO</v>
      </c>
      <c r="U22" s="152" t="s">
        <v>50</v>
      </c>
      <c r="V22" s="115" t="s">
        <v>25</v>
      </c>
      <c r="W22" t="str">
        <f t="shared" si="6"/>
        <v>OK</v>
      </c>
      <c r="X22" t="str">
        <f t="shared" si="7"/>
        <v>OK</v>
      </c>
      <c r="Y22" s="98" t="s">
        <v>50</v>
      </c>
      <c r="Z22" s="84" t="s">
        <v>16</v>
      </c>
      <c r="AA22" t="str">
        <f t="shared" si="8"/>
        <v>FULL</v>
      </c>
      <c r="AB22" t="str">
        <f t="shared" si="9"/>
        <v>PARTIAL</v>
      </c>
    </row>
    <row r="23" spans="2:28">
      <c r="B23" s="79">
        <v>16</v>
      </c>
      <c r="C23" s="94" t="s">
        <v>51</v>
      </c>
      <c r="D23" s="95">
        <f t="shared" si="10"/>
        <v>117</v>
      </c>
      <c r="E23" s="95">
        <f t="shared" si="11"/>
        <v>133</v>
      </c>
      <c r="F23" s="95">
        <v>17</v>
      </c>
      <c r="G23" s="96" t="s">
        <v>52</v>
      </c>
      <c r="H23" s="95" t="s">
        <v>14</v>
      </c>
      <c r="I23" s="98" t="s">
        <v>53</v>
      </c>
      <c r="J23" s="84" t="s">
        <v>16</v>
      </c>
      <c r="K23" t="str">
        <f t="shared" si="0"/>
        <v>OK</v>
      </c>
      <c r="L23" t="str">
        <f t="shared" si="1"/>
        <v>OK</v>
      </c>
      <c r="M23" s="98" t="s">
        <v>53</v>
      </c>
      <c r="N23" s="115" t="s">
        <v>16</v>
      </c>
      <c r="O23" t="str">
        <f t="shared" si="2"/>
        <v>OK</v>
      </c>
      <c r="P23" t="str">
        <f t="shared" si="3"/>
        <v>OK</v>
      </c>
      <c r="Q23" s="98" t="s">
        <v>53</v>
      </c>
      <c r="R23" s="115" t="s">
        <v>16</v>
      </c>
      <c r="S23" t="str">
        <f t="shared" si="4"/>
        <v>OK</v>
      </c>
      <c r="T23" t="str">
        <f t="shared" si="5"/>
        <v>OK</v>
      </c>
      <c r="U23" s="98" t="s">
        <v>53</v>
      </c>
      <c r="V23" s="115" t="s">
        <v>16</v>
      </c>
      <c r="W23" t="str">
        <f t="shared" si="6"/>
        <v>OK</v>
      </c>
      <c r="X23" t="str">
        <f t="shared" si="7"/>
        <v>OK</v>
      </c>
      <c r="Y23" s="98" t="s">
        <v>53</v>
      </c>
      <c r="Z23" s="84" t="s">
        <v>16</v>
      </c>
      <c r="AA23" t="str">
        <f t="shared" si="8"/>
        <v>FULL</v>
      </c>
      <c r="AB23" t="str">
        <f t="shared" si="9"/>
        <v>FULL</v>
      </c>
    </row>
    <row r="24" spans="2:28">
      <c r="B24" s="79">
        <v>17</v>
      </c>
      <c r="C24" s="80" t="s">
        <v>54</v>
      </c>
      <c r="D24" s="81">
        <f t="shared" si="10"/>
        <v>134</v>
      </c>
      <c r="E24" s="81">
        <f t="shared" si="11"/>
        <v>139</v>
      </c>
      <c r="F24" s="81">
        <v>6</v>
      </c>
      <c r="G24" s="82" t="s">
        <v>13</v>
      </c>
      <c r="H24" s="81" t="s">
        <v>39</v>
      </c>
      <c r="I24" s="83" t="s">
        <v>55</v>
      </c>
      <c r="J24" s="84" t="s">
        <v>16</v>
      </c>
      <c r="K24" t="str">
        <f t="shared" si="0"/>
        <v>OK</v>
      </c>
      <c r="L24" t="str">
        <f t="shared" si="1"/>
        <v>OK</v>
      </c>
      <c r="M24" s="83" t="s">
        <v>55</v>
      </c>
      <c r="N24" s="115" t="s">
        <v>16</v>
      </c>
      <c r="O24" t="str">
        <f t="shared" si="2"/>
        <v>OK</v>
      </c>
      <c r="P24" t="str">
        <f t="shared" si="3"/>
        <v>OK</v>
      </c>
      <c r="Q24" s="83" t="s">
        <v>55</v>
      </c>
      <c r="R24" s="115" t="s">
        <v>16</v>
      </c>
      <c r="S24" t="str">
        <f t="shared" si="4"/>
        <v>OK</v>
      </c>
      <c r="T24" t="str">
        <f t="shared" si="5"/>
        <v>OK</v>
      </c>
      <c r="U24" s="83" t="s">
        <v>55</v>
      </c>
      <c r="V24" s="115" t="s">
        <v>16</v>
      </c>
      <c r="W24" t="str">
        <f t="shared" si="6"/>
        <v>OK</v>
      </c>
      <c r="X24" t="str">
        <f t="shared" si="7"/>
        <v>OK</v>
      </c>
      <c r="Y24" s="83" t="s">
        <v>55</v>
      </c>
      <c r="Z24" s="84" t="s">
        <v>16</v>
      </c>
      <c r="AA24" t="str">
        <f t="shared" si="8"/>
        <v>FULL</v>
      </c>
      <c r="AB24" t="str">
        <f t="shared" si="9"/>
        <v>FULL</v>
      </c>
    </row>
    <row r="25" spans="2:28">
      <c r="B25" s="79">
        <v>18</v>
      </c>
      <c r="C25" s="80" t="s">
        <v>56</v>
      </c>
      <c r="D25" s="81">
        <f t="shared" si="10"/>
        <v>140</v>
      </c>
      <c r="E25" s="81">
        <f t="shared" si="11"/>
        <v>157</v>
      </c>
      <c r="F25" s="81">
        <v>18</v>
      </c>
      <c r="G25" s="82" t="s">
        <v>13</v>
      </c>
      <c r="H25" s="81" t="s">
        <v>57</v>
      </c>
      <c r="I25" s="83" t="s">
        <v>58</v>
      </c>
      <c r="J25" s="84" t="s">
        <v>16</v>
      </c>
      <c r="K25" t="str">
        <f t="shared" si="0"/>
        <v>OK</v>
      </c>
      <c r="L25" t="str">
        <f t="shared" si="1"/>
        <v>OK</v>
      </c>
      <c r="M25" s="83" t="s">
        <v>58</v>
      </c>
      <c r="N25" s="115" t="s">
        <v>16</v>
      </c>
      <c r="O25" t="str">
        <f t="shared" si="2"/>
        <v>OK</v>
      </c>
      <c r="P25" t="str">
        <f t="shared" si="3"/>
        <v>OK</v>
      </c>
      <c r="Q25" s="83" t="s">
        <v>58</v>
      </c>
      <c r="R25" s="115" t="s">
        <v>16</v>
      </c>
      <c r="S25" t="str">
        <f t="shared" si="4"/>
        <v>OK</v>
      </c>
      <c r="T25" t="str">
        <f t="shared" si="5"/>
        <v>OK</v>
      </c>
      <c r="U25" s="83" t="s">
        <v>58</v>
      </c>
      <c r="V25" s="115" t="s">
        <v>16</v>
      </c>
      <c r="W25" t="str">
        <f t="shared" si="6"/>
        <v>OK</v>
      </c>
      <c r="X25" t="str">
        <f t="shared" si="7"/>
        <v>OK</v>
      </c>
      <c r="Y25" s="83" t="s">
        <v>58</v>
      </c>
      <c r="Z25" s="84" t="s">
        <v>16</v>
      </c>
      <c r="AA25" t="str">
        <f t="shared" si="8"/>
        <v>FULL</v>
      </c>
      <c r="AB25" t="str">
        <f t="shared" si="9"/>
        <v>FULL</v>
      </c>
    </row>
    <row r="26" spans="2:28">
      <c r="B26" s="79">
        <v>19</v>
      </c>
      <c r="C26" s="80" t="s">
        <v>59</v>
      </c>
      <c r="D26" s="81">
        <f t="shared" si="10"/>
        <v>158</v>
      </c>
      <c r="E26" s="81">
        <f t="shared" si="11"/>
        <v>166</v>
      </c>
      <c r="F26" s="81">
        <v>9</v>
      </c>
      <c r="G26" s="82" t="s">
        <v>60</v>
      </c>
      <c r="H26" s="81" t="s">
        <v>57</v>
      </c>
      <c r="I26" s="83" t="s">
        <v>61</v>
      </c>
      <c r="J26" s="84" t="s">
        <v>16</v>
      </c>
      <c r="K26" t="str">
        <f t="shared" si="0"/>
        <v>OK</v>
      </c>
      <c r="L26" t="str">
        <f t="shared" si="1"/>
        <v>OK</v>
      </c>
      <c r="M26" s="83" t="s">
        <v>61</v>
      </c>
      <c r="N26" s="115" t="s">
        <v>16</v>
      </c>
      <c r="O26" t="str">
        <f t="shared" si="2"/>
        <v>OK</v>
      </c>
      <c r="P26" t="str">
        <f t="shared" si="3"/>
        <v>OK</v>
      </c>
      <c r="Q26" s="83" t="s">
        <v>61</v>
      </c>
      <c r="R26" s="115" t="s">
        <v>16</v>
      </c>
      <c r="S26" t="str">
        <f t="shared" si="4"/>
        <v>OK</v>
      </c>
      <c r="T26" t="str">
        <f t="shared" si="5"/>
        <v>OK</v>
      </c>
      <c r="U26" s="83" t="s">
        <v>61</v>
      </c>
      <c r="V26" s="115" t="s">
        <v>16</v>
      </c>
      <c r="W26" t="str">
        <f t="shared" si="6"/>
        <v>OK</v>
      </c>
      <c r="X26" t="str">
        <f t="shared" si="7"/>
        <v>OK</v>
      </c>
      <c r="Y26" s="83" t="s">
        <v>61</v>
      </c>
      <c r="Z26" s="84" t="s">
        <v>16</v>
      </c>
      <c r="AA26" t="str">
        <f t="shared" si="8"/>
        <v>FULL</v>
      </c>
      <c r="AB26" t="str">
        <f t="shared" si="9"/>
        <v>FULL</v>
      </c>
    </row>
    <row r="27" spans="2:28">
      <c r="B27" s="79">
        <v>20</v>
      </c>
      <c r="C27" s="80" t="s">
        <v>62</v>
      </c>
      <c r="D27" s="81">
        <f t="shared" si="10"/>
        <v>167</v>
      </c>
      <c r="E27" s="81">
        <f t="shared" si="11"/>
        <v>167</v>
      </c>
      <c r="F27" s="81">
        <v>1</v>
      </c>
      <c r="G27" s="82" t="s">
        <v>13</v>
      </c>
      <c r="H27" s="81" t="s">
        <v>14</v>
      </c>
      <c r="I27" s="83" t="s">
        <v>63</v>
      </c>
      <c r="J27" s="84" t="s">
        <v>16</v>
      </c>
      <c r="K27" t="str">
        <f t="shared" si="0"/>
        <v>OK</v>
      </c>
      <c r="L27" t="str">
        <f t="shared" si="1"/>
        <v>OK</v>
      </c>
      <c r="M27" s="83" t="s">
        <v>63</v>
      </c>
      <c r="N27" s="115" t="s">
        <v>16</v>
      </c>
      <c r="O27" t="str">
        <f t="shared" si="2"/>
        <v>OK</v>
      </c>
      <c r="P27" t="str">
        <f t="shared" si="3"/>
        <v>OK</v>
      </c>
      <c r="Q27" s="83" t="s">
        <v>63</v>
      </c>
      <c r="R27" s="115" t="s">
        <v>16</v>
      </c>
      <c r="S27" t="str">
        <f t="shared" si="4"/>
        <v>OK</v>
      </c>
      <c r="T27" t="str">
        <f t="shared" si="5"/>
        <v>OK</v>
      </c>
      <c r="U27" s="83" t="s">
        <v>63</v>
      </c>
      <c r="V27" s="115" t="s">
        <v>16</v>
      </c>
      <c r="W27" t="str">
        <f t="shared" si="6"/>
        <v>OK</v>
      </c>
      <c r="X27" t="str">
        <f t="shared" si="7"/>
        <v>OK</v>
      </c>
      <c r="Y27" s="83" t="s">
        <v>63</v>
      </c>
      <c r="Z27" s="84" t="s">
        <v>16</v>
      </c>
      <c r="AA27" t="str">
        <f t="shared" si="8"/>
        <v>FULL</v>
      </c>
      <c r="AB27" t="str">
        <f t="shared" si="9"/>
        <v>FULL</v>
      </c>
    </row>
    <row r="28" spans="2:28">
      <c r="B28" s="79">
        <v>21</v>
      </c>
      <c r="C28" s="80" t="s">
        <v>64</v>
      </c>
      <c r="D28" s="81">
        <f t="shared" si="10"/>
        <v>168</v>
      </c>
      <c r="E28" s="81">
        <f t="shared" si="11"/>
        <v>172</v>
      </c>
      <c r="F28" s="81">
        <v>5</v>
      </c>
      <c r="G28" s="82" t="s">
        <v>13</v>
      </c>
      <c r="H28" s="81" t="s">
        <v>14</v>
      </c>
      <c r="I28" s="83"/>
      <c r="J28" s="84" t="s">
        <v>16</v>
      </c>
      <c r="K28" t="str">
        <f t="shared" si="0"/>
        <v>OK</v>
      </c>
      <c r="L28" t="str">
        <f t="shared" si="1"/>
        <v>OK</v>
      </c>
      <c r="M28" s="83"/>
      <c r="N28" s="115" t="s">
        <v>16</v>
      </c>
      <c r="O28" t="str">
        <f t="shared" si="2"/>
        <v>OK</v>
      </c>
      <c r="P28" t="str">
        <f t="shared" si="3"/>
        <v>OK</v>
      </c>
      <c r="Q28" s="83"/>
      <c r="R28" s="115" t="s">
        <v>16</v>
      </c>
      <c r="S28" t="str">
        <f t="shared" si="4"/>
        <v>OK</v>
      </c>
      <c r="T28" t="str">
        <f t="shared" si="5"/>
        <v>OK</v>
      </c>
      <c r="U28" s="83"/>
      <c r="V28" s="115" t="s">
        <v>16</v>
      </c>
      <c r="W28" t="str">
        <f t="shared" si="6"/>
        <v>OK</v>
      </c>
      <c r="X28" t="str">
        <f t="shared" si="7"/>
        <v>OK</v>
      </c>
      <c r="Y28" s="83"/>
      <c r="Z28" s="84" t="s">
        <v>16</v>
      </c>
      <c r="AA28" t="str">
        <f t="shared" si="8"/>
        <v>FULL</v>
      </c>
      <c r="AB28" t="str">
        <f t="shared" si="9"/>
        <v>FULL</v>
      </c>
    </row>
    <row r="29" spans="2:28" ht="14.5">
      <c r="B29" s="99">
        <v>22</v>
      </c>
      <c r="C29" s="100" t="s">
        <v>65</v>
      </c>
      <c r="D29" s="101">
        <f t="shared" si="10"/>
        <v>173</v>
      </c>
      <c r="E29" s="101">
        <f t="shared" si="11"/>
        <v>180</v>
      </c>
      <c r="F29" s="101">
        <v>8</v>
      </c>
      <c r="G29" s="102" t="s">
        <v>13</v>
      </c>
      <c r="H29" s="101" t="s">
        <v>14</v>
      </c>
      <c r="I29" s="103"/>
      <c r="J29" s="84" t="s">
        <v>25</v>
      </c>
      <c r="K29" t="str">
        <f t="shared" si="0"/>
        <v>OK</v>
      </c>
      <c r="L29" t="str">
        <f t="shared" si="1"/>
        <v>OK</v>
      </c>
      <c r="M29" s="103"/>
      <c r="N29" s="115" t="s">
        <v>25</v>
      </c>
      <c r="O29" t="str">
        <f t="shared" si="2"/>
        <v>OK</v>
      </c>
      <c r="P29" t="str">
        <f t="shared" si="3"/>
        <v>OK</v>
      </c>
      <c r="Q29" s="103"/>
      <c r="R29" s="115" t="s">
        <v>25</v>
      </c>
      <c r="S29" t="str">
        <f t="shared" si="4"/>
        <v>OK</v>
      </c>
      <c r="T29" t="str">
        <f t="shared" si="5"/>
        <v>OK</v>
      </c>
      <c r="U29" s="103"/>
      <c r="V29" s="115" t="s">
        <v>25</v>
      </c>
      <c r="W29" t="str">
        <f t="shared" si="6"/>
        <v>OK</v>
      </c>
      <c r="X29" t="str">
        <f t="shared" si="7"/>
        <v>OK</v>
      </c>
      <c r="Y29" s="103"/>
      <c r="Z29" s="84" t="s">
        <v>25</v>
      </c>
      <c r="AA29" t="str">
        <f t="shared" si="8"/>
        <v>FULL</v>
      </c>
      <c r="AB29" t="str">
        <f t="shared" si="9"/>
        <v>FULL</v>
      </c>
    </row>
    <row r="30" spans="2:28" ht="14.5">
      <c r="B30" s="99">
        <v>23</v>
      </c>
      <c r="C30" s="100" t="s">
        <v>66</v>
      </c>
      <c r="D30" s="101">
        <f t="shared" si="10"/>
        <v>181</v>
      </c>
      <c r="E30" s="101">
        <f t="shared" si="11"/>
        <v>198</v>
      </c>
      <c r="F30" s="101">
        <v>18</v>
      </c>
      <c r="G30" s="102" t="s">
        <v>67</v>
      </c>
      <c r="H30" s="101" t="s">
        <v>39</v>
      </c>
      <c r="I30" s="103" t="s">
        <v>68</v>
      </c>
      <c r="J30" s="84" t="s">
        <v>25</v>
      </c>
      <c r="K30" t="str">
        <f t="shared" si="0"/>
        <v>OK</v>
      </c>
      <c r="L30" t="str">
        <f t="shared" si="1"/>
        <v>OK</v>
      </c>
      <c r="M30" s="103" t="s">
        <v>68</v>
      </c>
      <c r="N30" s="115" t="s">
        <v>25</v>
      </c>
      <c r="O30" t="str">
        <f t="shared" si="2"/>
        <v>OK</v>
      </c>
      <c r="P30" t="str">
        <f t="shared" si="3"/>
        <v>OK</v>
      </c>
      <c r="Q30" s="103" t="s">
        <v>68</v>
      </c>
      <c r="R30" s="115" t="s">
        <v>25</v>
      </c>
      <c r="S30" t="str">
        <f t="shared" si="4"/>
        <v>OK</v>
      </c>
      <c r="T30" t="str">
        <f t="shared" si="5"/>
        <v>OK</v>
      </c>
      <c r="U30" s="103" t="s">
        <v>68</v>
      </c>
      <c r="V30" s="115" t="s">
        <v>25</v>
      </c>
      <c r="W30" t="str">
        <f t="shared" si="6"/>
        <v>OK</v>
      </c>
      <c r="X30" t="str">
        <f t="shared" si="7"/>
        <v>OK</v>
      </c>
      <c r="Y30" s="103" t="s">
        <v>68</v>
      </c>
      <c r="Z30" s="84" t="s">
        <v>25</v>
      </c>
      <c r="AA30" t="str">
        <f t="shared" si="8"/>
        <v>FULL</v>
      </c>
      <c r="AB30" t="str">
        <f t="shared" si="9"/>
        <v>FULL</v>
      </c>
    </row>
    <row r="31" spans="2:28" ht="14.5">
      <c r="B31" s="99">
        <v>24</v>
      </c>
      <c r="C31" s="100" t="s">
        <v>69</v>
      </c>
      <c r="D31" s="101">
        <f t="shared" si="10"/>
        <v>199</v>
      </c>
      <c r="E31" s="101">
        <f t="shared" si="11"/>
        <v>216</v>
      </c>
      <c r="F31" s="101">
        <v>18</v>
      </c>
      <c r="G31" s="102" t="s">
        <v>67</v>
      </c>
      <c r="H31" s="101" t="s">
        <v>39</v>
      </c>
      <c r="I31" s="103" t="s">
        <v>68</v>
      </c>
      <c r="J31" s="84" t="s">
        <v>25</v>
      </c>
      <c r="K31" t="str">
        <f t="shared" si="0"/>
        <v>OK</v>
      </c>
      <c r="L31" t="str">
        <f t="shared" si="1"/>
        <v>OK</v>
      </c>
      <c r="M31" s="103" t="s">
        <v>68</v>
      </c>
      <c r="N31" s="115" t="s">
        <v>25</v>
      </c>
      <c r="O31" t="str">
        <f t="shared" si="2"/>
        <v>OK</v>
      </c>
      <c r="P31" t="str">
        <f t="shared" si="3"/>
        <v>OK</v>
      </c>
      <c r="Q31" s="103" t="s">
        <v>68</v>
      </c>
      <c r="R31" s="115" t="s">
        <v>25</v>
      </c>
      <c r="S31" t="str">
        <f t="shared" si="4"/>
        <v>OK</v>
      </c>
      <c r="T31" t="str">
        <f t="shared" si="5"/>
        <v>OK</v>
      </c>
      <c r="U31" s="103" t="s">
        <v>68</v>
      </c>
      <c r="V31" s="115" t="s">
        <v>25</v>
      </c>
      <c r="W31" t="str">
        <f t="shared" si="6"/>
        <v>OK</v>
      </c>
      <c r="X31" t="str">
        <f t="shared" si="7"/>
        <v>OK</v>
      </c>
      <c r="Y31" s="103" t="s">
        <v>68</v>
      </c>
      <c r="Z31" s="84" t="s">
        <v>25</v>
      </c>
      <c r="AA31" t="str">
        <f t="shared" si="8"/>
        <v>FULL</v>
      </c>
      <c r="AB31" t="str">
        <f t="shared" si="9"/>
        <v>FULL</v>
      </c>
    </row>
    <row r="32" spans="2:28">
      <c r="B32" s="79">
        <v>25</v>
      </c>
      <c r="C32" s="80" t="s">
        <v>70</v>
      </c>
      <c r="D32" s="81">
        <f t="shared" si="10"/>
        <v>217</v>
      </c>
      <c r="E32" s="81">
        <f t="shared" si="11"/>
        <v>234</v>
      </c>
      <c r="F32" s="81">
        <v>18</v>
      </c>
      <c r="G32" s="82" t="s">
        <v>67</v>
      </c>
      <c r="H32" s="81" t="s">
        <v>39</v>
      </c>
      <c r="I32" s="83" t="s">
        <v>68</v>
      </c>
      <c r="J32" s="84" t="s">
        <v>16</v>
      </c>
      <c r="K32" t="str">
        <f t="shared" si="0"/>
        <v>OK</v>
      </c>
      <c r="L32" t="str">
        <f t="shared" si="1"/>
        <v>OK</v>
      </c>
      <c r="M32" s="83" t="s">
        <v>68</v>
      </c>
      <c r="N32" s="115" t="s">
        <v>16</v>
      </c>
      <c r="O32" t="str">
        <f t="shared" si="2"/>
        <v>OK</v>
      </c>
      <c r="P32" t="str">
        <f t="shared" si="3"/>
        <v>OK</v>
      </c>
      <c r="Q32" s="83" t="s">
        <v>68</v>
      </c>
      <c r="R32" s="115" t="s">
        <v>16</v>
      </c>
      <c r="S32" t="str">
        <f t="shared" si="4"/>
        <v>OK</v>
      </c>
      <c r="T32" t="str">
        <f t="shared" si="5"/>
        <v>OK</v>
      </c>
      <c r="U32" s="83" t="s">
        <v>68</v>
      </c>
      <c r="V32" s="115" t="s">
        <v>16</v>
      </c>
      <c r="W32" t="str">
        <f t="shared" si="6"/>
        <v>OK</v>
      </c>
      <c r="X32" t="str">
        <f t="shared" si="7"/>
        <v>OK</v>
      </c>
      <c r="Y32" s="83" t="s">
        <v>68</v>
      </c>
      <c r="Z32" s="84" t="s">
        <v>16</v>
      </c>
      <c r="AA32" t="str">
        <f t="shared" si="8"/>
        <v>FULL</v>
      </c>
      <c r="AB32" t="str">
        <f t="shared" si="9"/>
        <v>FULL</v>
      </c>
    </row>
    <row r="33" spans="2:28">
      <c r="B33" s="79">
        <v>26</v>
      </c>
      <c r="C33" s="80" t="s">
        <v>71</v>
      </c>
      <c r="D33" s="81">
        <f t="shared" si="10"/>
        <v>235</v>
      </c>
      <c r="E33" s="81">
        <f t="shared" si="11"/>
        <v>252</v>
      </c>
      <c r="F33" s="81">
        <v>18</v>
      </c>
      <c r="G33" s="82" t="s">
        <v>67</v>
      </c>
      <c r="H33" s="81" t="s">
        <v>39</v>
      </c>
      <c r="I33" s="83" t="s">
        <v>68</v>
      </c>
      <c r="J33" s="84" t="s">
        <v>16</v>
      </c>
      <c r="K33" t="str">
        <f t="shared" si="0"/>
        <v>OK</v>
      </c>
      <c r="L33" t="str">
        <f t="shared" si="1"/>
        <v>OK</v>
      </c>
      <c r="M33" s="83" t="s">
        <v>68</v>
      </c>
      <c r="N33" s="115" t="s">
        <v>16</v>
      </c>
      <c r="O33" t="str">
        <f t="shared" si="2"/>
        <v>OK</v>
      </c>
      <c r="P33" t="str">
        <f t="shared" si="3"/>
        <v>OK</v>
      </c>
      <c r="Q33" s="83" t="s">
        <v>68</v>
      </c>
      <c r="R33" s="115" t="s">
        <v>16</v>
      </c>
      <c r="S33" t="str">
        <f t="shared" si="4"/>
        <v>OK</v>
      </c>
      <c r="T33" t="str">
        <f t="shared" si="5"/>
        <v>OK</v>
      </c>
      <c r="U33" s="83" t="s">
        <v>68</v>
      </c>
      <c r="V33" s="115" t="s">
        <v>16</v>
      </c>
      <c r="W33" t="str">
        <f t="shared" si="6"/>
        <v>OK</v>
      </c>
      <c r="X33" t="str">
        <f t="shared" si="7"/>
        <v>OK</v>
      </c>
      <c r="Y33" s="83" t="s">
        <v>68</v>
      </c>
      <c r="Z33" s="84" t="s">
        <v>16</v>
      </c>
      <c r="AA33" t="str">
        <f t="shared" si="8"/>
        <v>FULL</v>
      </c>
      <c r="AB33" t="str">
        <f t="shared" si="9"/>
        <v>FULL</v>
      </c>
    </row>
    <row r="34" spans="2:28">
      <c r="B34" s="79">
        <v>27</v>
      </c>
      <c r="C34" s="80" t="s">
        <v>72</v>
      </c>
      <c r="D34" s="81">
        <f t="shared" si="10"/>
        <v>253</v>
      </c>
      <c r="E34" s="81">
        <f t="shared" si="11"/>
        <v>402</v>
      </c>
      <c r="F34" s="81">
        <v>150</v>
      </c>
      <c r="G34" s="82" t="s">
        <v>13</v>
      </c>
      <c r="H34" s="81" t="s">
        <v>39</v>
      </c>
      <c r="I34" s="83" t="s">
        <v>73</v>
      </c>
      <c r="J34" s="84" t="s">
        <v>16</v>
      </c>
      <c r="K34" t="str">
        <f t="shared" si="0"/>
        <v>OK</v>
      </c>
      <c r="L34" t="str">
        <f t="shared" si="1"/>
        <v>OK</v>
      </c>
      <c r="M34" s="83" t="s">
        <v>73</v>
      </c>
      <c r="N34" s="115" t="s">
        <v>16</v>
      </c>
      <c r="O34" t="str">
        <f t="shared" si="2"/>
        <v>OK</v>
      </c>
      <c r="P34" t="str">
        <f t="shared" si="3"/>
        <v>OK</v>
      </c>
      <c r="Q34" s="83" t="s">
        <v>73</v>
      </c>
      <c r="R34" s="115" t="s">
        <v>16</v>
      </c>
      <c r="S34" t="str">
        <f t="shared" si="4"/>
        <v>OK</v>
      </c>
      <c r="T34" t="str">
        <f t="shared" si="5"/>
        <v>OK</v>
      </c>
      <c r="U34" s="83" t="s">
        <v>73</v>
      </c>
      <c r="V34" s="115" t="s">
        <v>16</v>
      </c>
      <c r="W34" t="str">
        <f t="shared" si="6"/>
        <v>OK</v>
      </c>
      <c r="X34" t="str">
        <f t="shared" si="7"/>
        <v>OK</v>
      </c>
      <c r="Y34" s="83" t="s">
        <v>73</v>
      </c>
      <c r="Z34" s="84" t="s">
        <v>16</v>
      </c>
      <c r="AA34" t="str">
        <f t="shared" si="8"/>
        <v>FULL</v>
      </c>
      <c r="AB34" t="str">
        <f t="shared" si="9"/>
        <v>FULL</v>
      </c>
    </row>
    <row r="35" spans="2:28">
      <c r="B35" s="79">
        <v>28</v>
      </c>
      <c r="C35" s="80" t="s">
        <v>74</v>
      </c>
      <c r="D35" s="81">
        <f t="shared" si="10"/>
        <v>403</v>
      </c>
      <c r="E35" s="81">
        <f t="shared" si="11"/>
        <v>409</v>
      </c>
      <c r="F35" s="81">
        <v>7</v>
      </c>
      <c r="G35" s="82" t="s">
        <v>13</v>
      </c>
      <c r="H35" s="81" t="s">
        <v>14</v>
      </c>
      <c r="I35" s="83" t="s">
        <v>75</v>
      </c>
      <c r="J35" s="84" t="s">
        <v>16</v>
      </c>
      <c r="K35" t="str">
        <f t="shared" si="0"/>
        <v>OK</v>
      </c>
      <c r="L35" t="str">
        <f t="shared" si="1"/>
        <v>OK</v>
      </c>
      <c r="M35" s="83" t="s">
        <v>75</v>
      </c>
      <c r="N35" s="115" t="s">
        <v>16</v>
      </c>
      <c r="O35" t="str">
        <f t="shared" si="2"/>
        <v>OK</v>
      </c>
      <c r="P35" t="str">
        <f t="shared" si="3"/>
        <v>OK</v>
      </c>
      <c r="Q35" s="83" t="s">
        <v>75</v>
      </c>
      <c r="R35" s="115" t="s">
        <v>16</v>
      </c>
      <c r="S35" t="str">
        <f t="shared" si="4"/>
        <v>OK</v>
      </c>
      <c r="T35" t="str">
        <f t="shared" si="5"/>
        <v>OK</v>
      </c>
      <c r="U35" s="83" t="s">
        <v>75</v>
      </c>
      <c r="V35" s="115" t="s">
        <v>16</v>
      </c>
      <c r="W35" t="str">
        <f t="shared" si="6"/>
        <v>OK</v>
      </c>
      <c r="X35" t="str">
        <f t="shared" si="7"/>
        <v>OK</v>
      </c>
      <c r="Y35" s="83" t="s">
        <v>75</v>
      </c>
      <c r="Z35" s="84" t="s">
        <v>16</v>
      </c>
      <c r="AA35" t="str">
        <f t="shared" si="8"/>
        <v>FULL</v>
      </c>
      <c r="AB35" t="str">
        <f t="shared" si="9"/>
        <v>FULL</v>
      </c>
    </row>
    <row r="36" spans="2:28">
      <c r="B36" s="79">
        <v>29</v>
      </c>
      <c r="C36" s="80" t="s">
        <v>76</v>
      </c>
      <c r="D36" s="81">
        <f t="shared" si="10"/>
        <v>410</v>
      </c>
      <c r="E36" s="81">
        <f>+D36+F36-1</f>
        <v>418</v>
      </c>
      <c r="F36" s="81">
        <v>9</v>
      </c>
      <c r="G36" s="82" t="s">
        <v>60</v>
      </c>
      <c r="H36" s="81" t="s">
        <v>14</v>
      </c>
      <c r="I36" s="83" t="s">
        <v>77</v>
      </c>
      <c r="J36" s="84" t="s">
        <v>16</v>
      </c>
      <c r="K36" t="str">
        <f t="shared" si="0"/>
        <v>OK</v>
      </c>
      <c r="L36" t="str">
        <f t="shared" si="1"/>
        <v>OK</v>
      </c>
      <c r="M36" s="83" t="s">
        <v>77</v>
      </c>
      <c r="N36" s="115" t="s">
        <v>16</v>
      </c>
      <c r="O36" t="str">
        <f t="shared" si="2"/>
        <v>OK</v>
      </c>
      <c r="P36" t="str">
        <f t="shared" si="3"/>
        <v>NO</v>
      </c>
      <c r="Q36" s="103" t="s">
        <v>77</v>
      </c>
      <c r="R36" s="115" t="s">
        <v>25</v>
      </c>
      <c r="S36" t="str">
        <f t="shared" si="4"/>
        <v>OK</v>
      </c>
      <c r="T36" t="str">
        <f t="shared" si="5"/>
        <v>OK</v>
      </c>
      <c r="U36" s="103" t="s">
        <v>77</v>
      </c>
      <c r="V36" s="115" t="s">
        <v>16</v>
      </c>
      <c r="W36" t="str">
        <f t="shared" si="6"/>
        <v>OK</v>
      </c>
      <c r="X36" t="str">
        <f t="shared" si="7"/>
        <v>OK</v>
      </c>
      <c r="Y36" s="83" t="s">
        <v>77</v>
      </c>
      <c r="Z36" s="84" t="s">
        <v>16</v>
      </c>
      <c r="AA36" t="str">
        <f t="shared" si="8"/>
        <v>FULL</v>
      </c>
      <c r="AB36" t="str">
        <f t="shared" si="9"/>
        <v>PARTIAL</v>
      </c>
    </row>
    <row r="37" spans="2:28">
      <c r="B37" s="91">
        <v>30</v>
      </c>
      <c r="C37" s="80" t="s">
        <v>78</v>
      </c>
      <c r="D37" s="81">
        <f t="shared" si="10"/>
        <v>419</v>
      </c>
      <c r="E37" s="81">
        <f>+D37+F37-1</f>
        <v>436</v>
      </c>
      <c r="F37" s="81">
        <v>18</v>
      </c>
      <c r="G37" s="82" t="s">
        <v>67</v>
      </c>
      <c r="H37" s="81" t="s">
        <v>79</v>
      </c>
      <c r="I37" s="83" t="s">
        <v>80</v>
      </c>
      <c r="J37" s="84" t="s">
        <v>16</v>
      </c>
      <c r="K37" t="str">
        <f t="shared" si="0"/>
        <v>OK</v>
      </c>
      <c r="L37" t="str">
        <f t="shared" si="1"/>
        <v>NO</v>
      </c>
      <c r="M37" s="191" t="s">
        <v>80</v>
      </c>
      <c r="N37" s="158" t="s">
        <v>25</v>
      </c>
      <c r="O37" t="str">
        <f t="shared" si="2"/>
        <v>OK</v>
      </c>
      <c r="P37" t="str">
        <f t="shared" si="3"/>
        <v>NO</v>
      </c>
      <c r="Q37" s="83" t="s">
        <v>80</v>
      </c>
      <c r="R37" s="115" t="s">
        <v>25</v>
      </c>
      <c r="S37" t="str">
        <f t="shared" si="4"/>
        <v>NO</v>
      </c>
      <c r="T37" t="str">
        <f t="shared" si="5"/>
        <v>OK</v>
      </c>
      <c r="U37" s="83" t="s">
        <v>362</v>
      </c>
      <c r="V37" s="115" t="s">
        <v>16</v>
      </c>
      <c r="W37" t="str">
        <f t="shared" si="6"/>
        <v>OK</v>
      </c>
      <c r="X37" t="str">
        <f t="shared" si="7"/>
        <v>OK</v>
      </c>
      <c r="Y37" s="83" t="s">
        <v>80</v>
      </c>
      <c r="Z37" s="84" t="s">
        <v>16</v>
      </c>
      <c r="AA37" t="str">
        <f t="shared" si="8"/>
        <v>PARTIAL</v>
      </c>
      <c r="AB37" t="str">
        <f t="shared" si="9"/>
        <v>PARTIAL</v>
      </c>
    </row>
    <row r="38" spans="2:28">
      <c r="B38" s="79">
        <v>31</v>
      </c>
      <c r="C38" s="80" t="s">
        <v>81</v>
      </c>
      <c r="D38" s="81">
        <f t="shared" si="10"/>
        <v>437</v>
      </c>
      <c r="E38" s="81">
        <f>+D38+F38-1</f>
        <v>454</v>
      </c>
      <c r="F38" s="81">
        <v>18</v>
      </c>
      <c r="G38" s="82" t="s">
        <v>67</v>
      </c>
      <c r="H38" s="81" t="s">
        <v>82</v>
      </c>
      <c r="I38" s="83" t="s">
        <v>83</v>
      </c>
      <c r="J38" s="84" t="s">
        <v>16</v>
      </c>
      <c r="K38" t="str">
        <f t="shared" si="0"/>
        <v>NO</v>
      </c>
      <c r="L38" t="str">
        <f t="shared" si="1"/>
        <v>OK</v>
      </c>
      <c r="M38" s="163" t="s">
        <v>68</v>
      </c>
      <c r="N38" s="158" t="s">
        <v>16</v>
      </c>
      <c r="O38" t="str">
        <f t="shared" si="2"/>
        <v>NO</v>
      </c>
      <c r="P38" t="str">
        <f t="shared" si="3"/>
        <v>NO</v>
      </c>
      <c r="Q38" s="103" t="s">
        <v>68</v>
      </c>
      <c r="R38" s="115" t="s">
        <v>25</v>
      </c>
      <c r="S38" t="str">
        <f t="shared" si="4"/>
        <v>NO</v>
      </c>
      <c r="T38" t="str">
        <f t="shared" si="5"/>
        <v>OK</v>
      </c>
      <c r="U38" s="83" t="s">
        <v>68</v>
      </c>
      <c r="V38" s="115" t="s">
        <v>16</v>
      </c>
      <c r="W38" t="str">
        <f t="shared" si="6"/>
        <v>OK</v>
      </c>
      <c r="X38" t="str">
        <f t="shared" si="7"/>
        <v>OK</v>
      </c>
      <c r="Y38" s="83" t="s">
        <v>83</v>
      </c>
      <c r="Z38" s="84" t="s">
        <v>16</v>
      </c>
      <c r="AA38" t="str">
        <f t="shared" si="8"/>
        <v>PARTIAL</v>
      </c>
      <c r="AB38" t="str">
        <f t="shared" si="9"/>
        <v>PARTIAL</v>
      </c>
    </row>
    <row r="39" spans="2:28">
      <c r="B39" s="79">
        <v>32</v>
      </c>
      <c r="C39" s="80" t="s">
        <v>84</v>
      </c>
      <c r="D39" s="81">
        <f t="shared" si="10"/>
        <v>455</v>
      </c>
      <c r="E39" s="81">
        <f>+D39+F39-1</f>
        <v>455</v>
      </c>
      <c r="F39" s="81">
        <v>1</v>
      </c>
      <c r="G39" s="82" t="s">
        <v>85</v>
      </c>
      <c r="H39" s="81" t="s">
        <v>14</v>
      </c>
      <c r="I39" s="83" t="s">
        <v>86</v>
      </c>
      <c r="J39" s="84" t="s">
        <v>16</v>
      </c>
      <c r="K39" t="str">
        <f t="shared" si="0"/>
        <v>OK</v>
      </c>
      <c r="L39" t="str">
        <f t="shared" si="1"/>
        <v>OK</v>
      </c>
      <c r="M39" s="83" t="s">
        <v>86</v>
      </c>
      <c r="N39" s="115" t="s">
        <v>16</v>
      </c>
      <c r="O39" t="str">
        <f t="shared" si="2"/>
        <v>OK</v>
      </c>
      <c r="P39" t="str">
        <f t="shared" si="3"/>
        <v>OK</v>
      </c>
      <c r="Q39" s="83" t="s">
        <v>86</v>
      </c>
      <c r="R39" s="115" t="s">
        <v>16</v>
      </c>
      <c r="S39" t="str">
        <f t="shared" si="4"/>
        <v>OK</v>
      </c>
      <c r="T39" t="str">
        <f t="shared" si="5"/>
        <v>OK</v>
      </c>
      <c r="U39" s="83" t="s">
        <v>86</v>
      </c>
      <c r="V39" s="115" t="s">
        <v>16</v>
      </c>
      <c r="W39" t="str">
        <f t="shared" si="6"/>
        <v>OK</v>
      </c>
      <c r="X39" t="str">
        <f t="shared" si="7"/>
        <v>OK</v>
      </c>
      <c r="Y39" s="83" t="s">
        <v>86</v>
      </c>
      <c r="Z39" s="84" t="s">
        <v>16</v>
      </c>
      <c r="AA39" t="str">
        <f t="shared" si="8"/>
        <v>FULL</v>
      </c>
      <c r="AB39" t="str">
        <f t="shared" si="9"/>
        <v>FULL</v>
      </c>
    </row>
    <row r="40" spans="2:28">
      <c r="B40" s="79">
        <v>33</v>
      </c>
      <c r="C40" s="80" t="s">
        <v>87</v>
      </c>
      <c r="D40" s="81">
        <f t="shared" si="10"/>
        <v>456</v>
      </c>
      <c r="E40" s="81">
        <f>+D40+F40-1</f>
        <v>463</v>
      </c>
      <c r="F40" s="81">
        <v>8</v>
      </c>
      <c r="G40" s="82" t="s">
        <v>13</v>
      </c>
      <c r="H40" s="81" t="s">
        <v>14</v>
      </c>
      <c r="I40" s="83" t="s">
        <v>88</v>
      </c>
      <c r="J40" s="84" t="s">
        <v>16</v>
      </c>
      <c r="K40" t="str">
        <f t="shared" si="0"/>
        <v>OK</v>
      </c>
      <c r="L40" t="str">
        <f t="shared" si="1"/>
        <v>OK</v>
      </c>
      <c r="M40" s="83" t="s">
        <v>88</v>
      </c>
      <c r="N40" s="115" t="s">
        <v>16</v>
      </c>
      <c r="O40" t="str">
        <f t="shared" si="2"/>
        <v>OK</v>
      </c>
      <c r="P40" t="str">
        <f t="shared" si="3"/>
        <v>OK</v>
      </c>
      <c r="Q40" s="83" t="s">
        <v>88</v>
      </c>
      <c r="R40" s="115" t="s">
        <v>16</v>
      </c>
      <c r="S40" t="str">
        <f t="shared" si="4"/>
        <v>OK</v>
      </c>
      <c r="T40" t="str">
        <f t="shared" si="5"/>
        <v>OK</v>
      </c>
      <c r="U40" s="83" t="s">
        <v>88</v>
      </c>
      <c r="V40" s="115" t="s">
        <v>16</v>
      </c>
      <c r="W40" t="str">
        <f t="shared" si="6"/>
        <v>OK</v>
      </c>
      <c r="X40" t="str">
        <f t="shared" si="7"/>
        <v>OK</v>
      </c>
      <c r="Y40" s="83" t="s">
        <v>88</v>
      </c>
      <c r="Z40" s="84" t="s">
        <v>16</v>
      </c>
      <c r="AA40" t="str">
        <f t="shared" si="8"/>
        <v>FULL</v>
      </c>
      <c r="AB40" t="str">
        <f t="shared" si="9"/>
        <v>FULL</v>
      </c>
    </row>
    <row r="41" spans="2:28">
      <c r="B41" s="79">
        <v>34</v>
      </c>
      <c r="C41" s="80" t="s">
        <v>89</v>
      </c>
      <c r="D41" s="81">
        <f t="shared" si="10"/>
        <v>464</v>
      </c>
      <c r="E41" s="81">
        <f t="shared" ref="E41:E72" si="12">+D41+F41-1</f>
        <v>478</v>
      </c>
      <c r="F41" s="81">
        <v>15</v>
      </c>
      <c r="G41" s="82" t="s">
        <v>13</v>
      </c>
      <c r="H41" s="81" t="s">
        <v>14</v>
      </c>
      <c r="I41" s="83" t="s">
        <v>88</v>
      </c>
      <c r="J41" s="84" t="s">
        <v>16</v>
      </c>
      <c r="K41" t="str">
        <f t="shared" si="0"/>
        <v>OK</v>
      </c>
      <c r="L41" t="str">
        <f t="shared" si="1"/>
        <v>OK</v>
      </c>
      <c r="M41" s="83" t="s">
        <v>88</v>
      </c>
      <c r="N41" s="115" t="s">
        <v>16</v>
      </c>
      <c r="O41" t="str">
        <f t="shared" si="2"/>
        <v>OK</v>
      </c>
      <c r="P41" t="str">
        <f t="shared" si="3"/>
        <v>OK</v>
      </c>
      <c r="Q41" s="83" t="s">
        <v>88</v>
      </c>
      <c r="R41" s="115" t="s">
        <v>16</v>
      </c>
      <c r="S41" t="str">
        <f t="shared" si="4"/>
        <v>OK</v>
      </c>
      <c r="T41" t="str">
        <f t="shared" si="5"/>
        <v>OK</v>
      </c>
      <c r="U41" s="83" t="s">
        <v>88</v>
      </c>
      <c r="V41" s="115" t="s">
        <v>16</v>
      </c>
      <c r="W41" t="str">
        <f t="shared" si="6"/>
        <v>OK</v>
      </c>
      <c r="X41" t="str">
        <f t="shared" si="7"/>
        <v>OK</v>
      </c>
      <c r="Y41" s="83" t="s">
        <v>88</v>
      </c>
      <c r="Z41" s="84" t="s">
        <v>16</v>
      </c>
      <c r="AA41" t="str">
        <f t="shared" si="8"/>
        <v>FULL</v>
      </c>
      <c r="AB41" t="str">
        <f t="shared" si="9"/>
        <v>FULL</v>
      </c>
    </row>
    <row r="42" spans="2:28">
      <c r="B42" s="79">
        <v>35</v>
      </c>
      <c r="C42" s="104" t="s">
        <v>90</v>
      </c>
      <c r="D42" s="105">
        <f t="shared" si="10"/>
        <v>479</v>
      </c>
      <c r="E42" s="105">
        <f t="shared" si="12"/>
        <v>480</v>
      </c>
      <c r="F42" s="105">
        <v>2</v>
      </c>
      <c r="G42" s="106" t="s">
        <v>13</v>
      </c>
      <c r="H42" s="105" t="s">
        <v>14</v>
      </c>
      <c r="I42" s="107" t="s">
        <v>91</v>
      </c>
      <c r="J42" s="84" t="s">
        <v>16</v>
      </c>
      <c r="K42" t="str">
        <f t="shared" si="0"/>
        <v>OK</v>
      </c>
      <c r="L42" t="str">
        <f t="shared" si="1"/>
        <v>OK</v>
      </c>
      <c r="M42" s="107" t="s">
        <v>91</v>
      </c>
      <c r="N42" s="115" t="s">
        <v>16</v>
      </c>
      <c r="O42" t="str">
        <f t="shared" si="2"/>
        <v>OK</v>
      </c>
      <c r="P42" t="str">
        <f t="shared" si="3"/>
        <v>OK</v>
      </c>
      <c r="Q42" s="107" t="s">
        <v>91</v>
      </c>
      <c r="R42" s="115" t="s">
        <v>16</v>
      </c>
      <c r="S42" t="str">
        <f t="shared" si="4"/>
        <v>OK</v>
      </c>
      <c r="T42" t="str">
        <f t="shared" si="5"/>
        <v>OK</v>
      </c>
      <c r="U42" s="107" t="s">
        <v>91</v>
      </c>
      <c r="V42" s="115" t="s">
        <v>16</v>
      </c>
      <c r="W42" t="str">
        <f t="shared" si="6"/>
        <v>OK</v>
      </c>
      <c r="X42" t="str">
        <f t="shared" si="7"/>
        <v>OK</v>
      </c>
      <c r="Y42" s="107" t="s">
        <v>91</v>
      </c>
      <c r="Z42" s="84" t="s">
        <v>16</v>
      </c>
      <c r="AA42" t="str">
        <f t="shared" si="8"/>
        <v>FULL</v>
      </c>
      <c r="AB42" t="str">
        <f t="shared" si="9"/>
        <v>FULL</v>
      </c>
    </row>
    <row r="43" spans="2:28">
      <c r="B43" s="79">
        <v>36</v>
      </c>
      <c r="C43" s="104" t="s">
        <v>92</v>
      </c>
      <c r="D43" s="105">
        <f t="shared" si="10"/>
        <v>481</v>
      </c>
      <c r="E43" s="105">
        <f t="shared" si="12"/>
        <v>481</v>
      </c>
      <c r="F43" s="105">
        <v>1</v>
      </c>
      <c r="G43" s="106" t="s">
        <v>13</v>
      </c>
      <c r="H43" s="105" t="s">
        <v>14</v>
      </c>
      <c r="I43" s="108" t="s">
        <v>93</v>
      </c>
      <c r="J43" s="84" t="s">
        <v>16</v>
      </c>
      <c r="K43" t="str">
        <f t="shared" si="0"/>
        <v>OK</v>
      </c>
      <c r="L43" t="str">
        <f t="shared" si="1"/>
        <v>OK</v>
      </c>
      <c r="M43" s="108" t="s">
        <v>93</v>
      </c>
      <c r="N43" s="115" t="s">
        <v>16</v>
      </c>
      <c r="O43" t="str">
        <f t="shared" si="2"/>
        <v>OK</v>
      </c>
      <c r="P43" t="str">
        <f t="shared" si="3"/>
        <v>OK</v>
      </c>
      <c r="Q43" s="108" t="s">
        <v>93</v>
      </c>
      <c r="R43" s="115" t="s">
        <v>16</v>
      </c>
      <c r="S43" t="str">
        <f t="shared" si="4"/>
        <v>OK</v>
      </c>
      <c r="T43" t="str">
        <f t="shared" si="5"/>
        <v>OK</v>
      </c>
      <c r="U43" s="108" t="s">
        <v>93</v>
      </c>
      <c r="V43" s="115" t="s">
        <v>16</v>
      </c>
      <c r="W43" t="str">
        <f t="shared" si="6"/>
        <v>OK</v>
      </c>
      <c r="X43" t="str">
        <f t="shared" si="7"/>
        <v>OK</v>
      </c>
      <c r="Y43" s="108" t="s">
        <v>93</v>
      </c>
      <c r="Z43" s="84" t="s">
        <v>16</v>
      </c>
      <c r="AA43" t="str">
        <f t="shared" si="8"/>
        <v>FULL</v>
      </c>
      <c r="AB43" t="str">
        <f t="shared" si="9"/>
        <v>FULL</v>
      </c>
    </row>
    <row r="44" spans="2:28">
      <c r="B44" s="79">
        <v>37</v>
      </c>
      <c r="C44" s="104" t="s">
        <v>94</v>
      </c>
      <c r="D44" s="105">
        <f t="shared" si="10"/>
        <v>482</v>
      </c>
      <c r="E44" s="105">
        <f t="shared" si="12"/>
        <v>482</v>
      </c>
      <c r="F44" s="105">
        <v>1</v>
      </c>
      <c r="G44" s="106" t="s">
        <v>13</v>
      </c>
      <c r="H44" s="105" t="s">
        <v>14</v>
      </c>
      <c r="I44" s="108" t="s">
        <v>95</v>
      </c>
      <c r="J44" s="84" t="s">
        <v>16</v>
      </c>
      <c r="K44" t="str">
        <f t="shared" si="0"/>
        <v>OK</v>
      </c>
      <c r="L44" t="str">
        <f t="shared" si="1"/>
        <v>OK</v>
      </c>
      <c r="M44" s="108" t="s">
        <v>95</v>
      </c>
      <c r="N44" s="115" t="s">
        <v>16</v>
      </c>
      <c r="O44" t="str">
        <f t="shared" si="2"/>
        <v>OK</v>
      </c>
      <c r="P44" t="str">
        <f t="shared" si="3"/>
        <v>NO</v>
      </c>
      <c r="Q44" s="108" t="s">
        <v>95</v>
      </c>
      <c r="R44" s="115" t="s">
        <v>25</v>
      </c>
      <c r="S44" t="str">
        <f t="shared" si="4"/>
        <v>OK</v>
      </c>
      <c r="T44" t="str">
        <f t="shared" si="5"/>
        <v>OK</v>
      </c>
      <c r="U44" s="108" t="s">
        <v>95</v>
      </c>
      <c r="V44" s="115" t="s">
        <v>16</v>
      </c>
      <c r="W44" t="str">
        <f t="shared" si="6"/>
        <v>OK</v>
      </c>
      <c r="X44" t="str">
        <f t="shared" si="7"/>
        <v>OK</v>
      </c>
      <c r="Y44" s="108" t="s">
        <v>95</v>
      </c>
      <c r="Z44" s="84" t="s">
        <v>16</v>
      </c>
      <c r="AA44" t="str">
        <f t="shared" si="8"/>
        <v>FULL</v>
      </c>
      <c r="AB44" t="str">
        <f t="shared" si="9"/>
        <v>PARTIAL</v>
      </c>
    </row>
    <row r="45" spans="2:28">
      <c r="B45" s="79">
        <v>38</v>
      </c>
      <c r="C45" s="104" t="s">
        <v>96</v>
      </c>
      <c r="D45" s="105">
        <f t="shared" si="10"/>
        <v>483</v>
      </c>
      <c r="E45" s="105">
        <f t="shared" si="12"/>
        <v>486</v>
      </c>
      <c r="F45" s="105">
        <v>4</v>
      </c>
      <c r="G45" s="106" t="s">
        <v>85</v>
      </c>
      <c r="H45" s="105" t="s">
        <v>14</v>
      </c>
      <c r="I45" s="107" t="s">
        <v>97</v>
      </c>
      <c r="J45" s="84" t="s">
        <v>16</v>
      </c>
      <c r="K45" t="str">
        <f t="shared" si="0"/>
        <v>OK</v>
      </c>
      <c r="L45" t="str">
        <f t="shared" si="1"/>
        <v>OK</v>
      </c>
      <c r="M45" s="107" t="s">
        <v>97</v>
      </c>
      <c r="N45" s="115" t="s">
        <v>16</v>
      </c>
      <c r="O45" t="str">
        <f t="shared" si="2"/>
        <v>OK</v>
      </c>
      <c r="P45" t="str">
        <f t="shared" si="3"/>
        <v>NO</v>
      </c>
      <c r="Q45" s="107" t="s">
        <v>97</v>
      </c>
      <c r="R45" s="115" t="s">
        <v>25</v>
      </c>
      <c r="S45" t="str">
        <f t="shared" si="4"/>
        <v>OK</v>
      </c>
      <c r="T45" t="str">
        <f t="shared" si="5"/>
        <v>OK</v>
      </c>
      <c r="U45" s="107" t="s">
        <v>97</v>
      </c>
      <c r="V45" s="115" t="s">
        <v>16</v>
      </c>
      <c r="W45" t="str">
        <f t="shared" si="6"/>
        <v>OK</v>
      </c>
      <c r="X45" t="str">
        <f t="shared" si="7"/>
        <v>OK</v>
      </c>
      <c r="Y45" s="107" t="s">
        <v>97</v>
      </c>
      <c r="Z45" s="84" t="s">
        <v>16</v>
      </c>
      <c r="AA45" t="str">
        <f t="shared" si="8"/>
        <v>FULL</v>
      </c>
      <c r="AB45" t="str">
        <f t="shared" si="9"/>
        <v>PARTIAL</v>
      </c>
    </row>
    <row r="46" spans="2:28">
      <c r="B46" s="79">
        <v>39</v>
      </c>
      <c r="C46" s="104" t="s">
        <v>98</v>
      </c>
      <c r="D46" s="105">
        <f t="shared" si="10"/>
        <v>487</v>
      </c>
      <c r="E46" s="105">
        <f t="shared" si="12"/>
        <v>494</v>
      </c>
      <c r="F46" s="105">
        <v>8</v>
      </c>
      <c r="G46" s="106" t="s">
        <v>99</v>
      </c>
      <c r="H46" s="105" t="s">
        <v>14</v>
      </c>
      <c r="I46" s="107" t="s">
        <v>100</v>
      </c>
      <c r="J46" s="84" t="s">
        <v>16</v>
      </c>
      <c r="K46" t="str">
        <f t="shared" si="0"/>
        <v>OK</v>
      </c>
      <c r="L46" t="str">
        <f t="shared" si="1"/>
        <v>OK</v>
      </c>
      <c r="M46" s="107" t="s">
        <v>100</v>
      </c>
      <c r="N46" s="115" t="s">
        <v>16</v>
      </c>
      <c r="O46" t="str">
        <f t="shared" si="2"/>
        <v>OK</v>
      </c>
      <c r="P46" t="str">
        <f t="shared" si="3"/>
        <v>OK</v>
      </c>
      <c r="Q46" s="107" t="s">
        <v>100</v>
      </c>
      <c r="R46" s="115" t="s">
        <v>16</v>
      </c>
      <c r="S46" t="str">
        <f t="shared" si="4"/>
        <v>OK</v>
      </c>
      <c r="T46" t="str">
        <f t="shared" si="5"/>
        <v>OK</v>
      </c>
      <c r="U46" s="107" t="s">
        <v>100</v>
      </c>
      <c r="V46" s="115" t="s">
        <v>16</v>
      </c>
      <c r="W46" t="str">
        <f t="shared" si="6"/>
        <v>OK</v>
      </c>
      <c r="X46" t="str">
        <f t="shared" si="7"/>
        <v>OK</v>
      </c>
      <c r="Y46" s="107" t="s">
        <v>100</v>
      </c>
      <c r="Z46" s="84" t="s">
        <v>16</v>
      </c>
      <c r="AA46" t="str">
        <f t="shared" si="8"/>
        <v>FULL</v>
      </c>
      <c r="AB46" t="str">
        <f t="shared" si="9"/>
        <v>FULL</v>
      </c>
    </row>
    <row r="47" spans="2:28">
      <c r="B47" s="79">
        <v>40</v>
      </c>
      <c r="C47" s="104" t="s">
        <v>101</v>
      </c>
      <c r="D47" s="105">
        <f t="shared" si="10"/>
        <v>495</v>
      </c>
      <c r="E47" s="105">
        <f t="shared" si="12"/>
        <v>502</v>
      </c>
      <c r="F47" s="105">
        <v>8</v>
      </c>
      <c r="G47" s="106" t="s">
        <v>99</v>
      </c>
      <c r="H47" s="105" t="s">
        <v>14</v>
      </c>
      <c r="I47" s="107" t="s">
        <v>102</v>
      </c>
      <c r="J47" s="84" t="s">
        <v>16</v>
      </c>
      <c r="K47" t="str">
        <f t="shared" si="0"/>
        <v>OK</v>
      </c>
      <c r="L47" t="str">
        <f t="shared" si="1"/>
        <v>OK</v>
      </c>
      <c r="M47" s="107" t="s">
        <v>102</v>
      </c>
      <c r="N47" s="115" t="s">
        <v>16</v>
      </c>
      <c r="O47" t="str">
        <f t="shared" si="2"/>
        <v>OK</v>
      </c>
      <c r="P47" t="str">
        <f t="shared" si="3"/>
        <v>OK</v>
      </c>
      <c r="Q47" s="107" t="s">
        <v>102</v>
      </c>
      <c r="R47" s="115" t="s">
        <v>16</v>
      </c>
      <c r="S47" t="str">
        <f t="shared" si="4"/>
        <v>OK</v>
      </c>
      <c r="T47" t="str">
        <f t="shared" si="5"/>
        <v>OK</v>
      </c>
      <c r="U47" s="107" t="s">
        <v>102</v>
      </c>
      <c r="V47" s="115" t="s">
        <v>16</v>
      </c>
      <c r="W47" t="str">
        <f t="shared" si="6"/>
        <v>OK</v>
      </c>
      <c r="X47" t="str">
        <f t="shared" si="7"/>
        <v>OK</v>
      </c>
      <c r="Y47" s="107" t="s">
        <v>102</v>
      </c>
      <c r="Z47" s="84" t="s">
        <v>16</v>
      </c>
      <c r="AA47" t="str">
        <f t="shared" si="8"/>
        <v>FULL</v>
      </c>
      <c r="AB47" t="str">
        <f t="shared" si="9"/>
        <v>FULL</v>
      </c>
    </row>
    <row r="48" spans="2:28">
      <c r="B48" s="79">
        <v>41</v>
      </c>
      <c r="C48" s="104" t="s">
        <v>103</v>
      </c>
      <c r="D48" s="105">
        <f t="shared" si="10"/>
        <v>503</v>
      </c>
      <c r="E48" s="105">
        <f t="shared" si="12"/>
        <v>505</v>
      </c>
      <c r="F48" s="105">
        <v>3</v>
      </c>
      <c r="G48" s="106" t="s">
        <v>13</v>
      </c>
      <c r="H48" s="105" t="s">
        <v>14</v>
      </c>
      <c r="I48" s="107" t="s">
        <v>91</v>
      </c>
      <c r="J48" s="84" t="s">
        <v>16</v>
      </c>
      <c r="K48" t="str">
        <f t="shared" si="0"/>
        <v>OK</v>
      </c>
      <c r="L48" t="str">
        <f t="shared" si="1"/>
        <v>OK</v>
      </c>
      <c r="M48" s="107" t="s">
        <v>91</v>
      </c>
      <c r="N48" s="115" t="s">
        <v>16</v>
      </c>
      <c r="O48" t="str">
        <f t="shared" si="2"/>
        <v>OK</v>
      </c>
      <c r="P48" t="str">
        <f t="shared" si="3"/>
        <v>OK</v>
      </c>
      <c r="Q48" s="107" t="s">
        <v>91</v>
      </c>
      <c r="R48" s="115" t="s">
        <v>16</v>
      </c>
      <c r="S48" t="str">
        <f t="shared" si="4"/>
        <v>OK</v>
      </c>
      <c r="T48" t="str">
        <f t="shared" si="5"/>
        <v>OK</v>
      </c>
      <c r="U48" s="107" t="s">
        <v>91</v>
      </c>
      <c r="V48" s="115" t="s">
        <v>16</v>
      </c>
      <c r="W48" t="str">
        <f t="shared" si="6"/>
        <v>OK</v>
      </c>
      <c r="X48" t="str">
        <f t="shared" si="7"/>
        <v>OK</v>
      </c>
      <c r="Y48" s="107" t="s">
        <v>91</v>
      </c>
      <c r="Z48" s="84" t="s">
        <v>16</v>
      </c>
      <c r="AA48" t="str">
        <f t="shared" si="8"/>
        <v>FULL</v>
      </c>
      <c r="AB48" t="str">
        <f t="shared" si="9"/>
        <v>FULL</v>
      </c>
    </row>
    <row r="49" spans="2:28">
      <c r="B49" s="79">
        <v>42</v>
      </c>
      <c r="C49" s="104" t="s">
        <v>104</v>
      </c>
      <c r="D49" s="105">
        <f t="shared" si="10"/>
        <v>506</v>
      </c>
      <c r="E49" s="105">
        <f t="shared" si="12"/>
        <v>508</v>
      </c>
      <c r="F49" s="105">
        <v>3</v>
      </c>
      <c r="G49" s="106" t="s">
        <v>13</v>
      </c>
      <c r="H49" s="105" t="s">
        <v>14</v>
      </c>
      <c r="I49" s="107" t="s">
        <v>91</v>
      </c>
      <c r="J49" s="84" t="s">
        <v>16</v>
      </c>
      <c r="K49" t="str">
        <f t="shared" si="0"/>
        <v>OK</v>
      </c>
      <c r="L49" t="str">
        <f t="shared" si="1"/>
        <v>OK</v>
      </c>
      <c r="M49" s="107" t="s">
        <v>91</v>
      </c>
      <c r="N49" s="115" t="s">
        <v>16</v>
      </c>
      <c r="O49" t="str">
        <f t="shared" si="2"/>
        <v>OK</v>
      </c>
      <c r="P49" t="str">
        <f t="shared" si="3"/>
        <v>OK</v>
      </c>
      <c r="Q49" s="107" t="s">
        <v>91</v>
      </c>
      <c r="R49" s="115" t="s">
        <v>16</v>
      </c>
      <c r="S49" t="str">
        <f t="shared" si="4"/>
        <v>OK</v>
      </c>
      <c r="T49" t="str">
        <f t="shared" si="5"/>
        <v>OK</v>
      </c>
      <c r="U49" s="107" t="s">
        <v>91</v>
      </c>
      <c r="V49" s="115" t="s">
        <v>16</v>
      </c>
      <c r="W49" t="str">
        <f t="shared" si="6"/>
        <v>OK</v>
      </c>
      <c r="X49" t="str">
        <f t="shared" si="7"/>
        <v>OK</v>
      </c>
      <c r="Y49" s="107" t="s">
        <v>91</v>
      </c>
      <c r="Z49" s="84" t="s">
        <v>16</v>
      </c>
      <c r="AA49" t="str">
        <f t="shared" si="8"/>
        <v>FULL</v>
      </c>
      <c r="AB49" t="str">
        <f t="shared" si="9"/>
        <v>FULL</v>
      </c>
    </row>
    <row r="50" spans="2:28">
      <c r="B50" s="79">
        <v>43</v>
      </c>
      <c r="C50" s="104" t="s">
        <v>105</v>
      </c>
      <c r="D50" s="105">
        <f t="shared" si="10"/>
        <v>509</v>
      </c>
      <c r="E50" s="105">
        <f t="shared" si="12"/>
        <v>511</v>
      </c>
      <c r="F50" s="105">
        <v>3</v>
      </c>
      <c r="G50" s="106" t="s">
        <v>13</v>
      </c>
      <c r="H50" s="105" t="s">
        <v>82</v>
      </c>
      <c r="I50" s="83" t="s">
        <v>106</v>
      </c>
      <c r="J50" s="84" t="s">
        <v>16</v>
      </c>
      <c r="K50" t="str">
        <f t="shared" si="0"/>
        <v>OK</v>
      </c>
      <c r="L50" t="str">
        <f t="shared" si="1"/>
        <v>OK</v>
      </c>
      <c r="M50" s="163" t="s">
        <v>106</v>
      </c>
      <c r="N50" s="158" t="s">
        <v>16</v>
      </c>
      <c r="O50" t="str">
        <f t="shared" si="2"/>
        <v>OK</v>
      </c>
      <c r="P50" t="str">
        <f t="shared" si="3"/>
        <v>OK</v>
      </c>
      <c r="Q50" s="83" t="s">
        <v>106</v>
      </c>
      <c r="R50" s="115" t="s">
        <v>16</v>
      </c>
      <c r="S50" t="str">
        <f t="shared" si="4"/>
        <v>OK</v>
      </c>
      <c r="T50" t="str">
        <f t="shared" si="5"/>
        <v>OK</v>
      </c>
      <c r="U50" s="83" t="s">
        <v>106</v>
      </c>
      <c r="V50" s="115" t="s">
        <v>16</v>
      </c>
      <c r="W50" t="str">
        <f t="shared" si="6"/>
        <v>OK</v>
      </c>
      <c r="X50" t="str">
        <f t="shared" si="7"/>
        <v>OK</v>
      </c>
      <c r="Y50" s="83" t="s">
        <v>106</v>
      </c>
      <c r="Z50" s="84" t="s">
        <v>16</v>
      </c>
      <c r="AA50" t="str">
        <f t="shared" si="8"/>
        <v>FULL</v>
      </c>
      <c r="AB50" t="str">
        <f t="shared" si="9"/>
        <v>FULL</v>
      </c>
    </row>
    <row r="51" spans="2:28">
      <c r="B51" s="79">
        <v>44</v>
      </c>
      <c r="C51" s="104" t="s">
        <v>107</v>
      </c>
      <c r="D51" s="105">
        <f t="shared" si="10"/>
        <v>512</v>
      </c>
      <c r="E51" s="105">
        <f t="shared" si="12"/>
        <v>514</v>
      </c>
      <c r="F51" s="105">
        <v>3</v>
      </c>
      <c r="G51" s="106" t="s">
        <v>13</v>
      </c>
      <c r="H51" s="105" t="s">
        <v>82</v>
      </c>
      <c r="I51" s="83" t="s">
        <v>106</v>
      </c>
      <c r="J51" s="84" t="s">
        <v>16</v>
      </c>
      <c r="K51" t="str">
        <f t="shared" si="0"/>
        <v>OK</v>
      </c>
      <c r="L51" t="str">
        <f t="shared" si="1"/>
        <v>OK</v>
      </c>
      <c r="M51" s="163" t="s">
        <v>106</v>
      </c>
      <c r="N51" s="158" t="s">
        <v>16</v>
      </c>
      <c r="O51" t="str">
        <f t="shared" si="2"/>
        <v>OK</v>
      </c>
      <c r="P51" t="str">
        <f t="shared" si="3"/>
        <v>OK</v>
      </c>
      <c r="Q51" s="83" t="s">
        <v>106</v>
      </c>
      <c r="R51" s="115" t="s">
        <v>16</v>
      </c>
      <c r="S51" t="str">
        <f t="shared" si="4"/>
        <v>OK</v>
      </c>
      <c r="T51" t="str">
        <f t="shared" si="5"/>
        <v>OK</v>
      </c>
      <c r="U51" s="83" t="s">
        <v>106</v>
      </c>
      <c r="V51" s="115" t="s">
        <v>16</v>
      </c>
      <c r="W51" t="str">
        <f t="shared" si="6"/>
        <v>OK</v>
      </c>
      <c r="X51" t="str">
        <f t="shared" si="7"/>
        <v>OK</v>
      </c>
      <c r="Y51" s="83" t="s">
        <v>106</v>
      </c>
      <c r="Z51" s="84" t="s">
        <v>16</v>
      </c>
      <c r="AA51" t="str">
        <f t="shared" si="8"/>
        <v>FULL</v>
      </c>
      <c r="AB51" t="str">
        <f t="shared" si="9"/>
        <v>FULL</v>
      </c>
    </row>
    <row r="52" spans="2:28">
      <c r="B52" s="79">
        <v>45</v>
      </c>
      <c r="C52" s="104" t="s">
        <v>108</v>
      </c>
      <c r="D52" s="105">
        <f t="shared" si="10"/>
        <v>515</v>
      </c>
      <c r="E52" s="105">
        <f t="shared" si="12"/>
        <v>524</v>
      </c>
      <c r="F52" s="105">
        <v>10</v>
      </c>
      <c r="G52" s="106" t="s">
        <v>85</v>
      </c>
      <c r="H52" s="105" t="s">
        <v>109</v>
      </c>
      <c r="I52" s="107" t="s">
        <v>110</v>
      </c>
      <c r="J52" s="84" t="s">
        <v>16</v>
      </c>
      <c r="K52" t="str">
        <f t="shared" si="0"/>
        <v>OK</v>
      </c>
      <c r="L52" t="str">
        <f t="shared" si="1"/>
        <v>OK</v>
      </c>
      <c r="M52" s="107" t="s">
        <v>110</v>
      </c>
      <c r="N52" s="115" t="s">
        <v>16</v>
      </c>
      <c r="O52" t="str">
        <f t="shared" si="2"/>
        <v>OK</v>
      </c>
      <c r="P52" t="str">
        <f t="shared" si="3"/>
        <v>OK</v>
      </c>
      <c r="Q52" s="107" t="s">
        <v>110</v>
      </c>
      <c r="R52" s="115" t="s">
        <v>16</v>
      </c>
      <c r="S52" t="str">
        <f t="shared" si="4"/>
        <v>OK</v>
      </c>
      <c r="T52" t="str">
        <f t="shared" si="5"/>
        <v>OK</v>
      </c>
      <c r="U52" s="107" t="s">
        <v>110</v>
      </c>
      <c r="V52" s="115" t="s">
        <v>16</v>
      </c>
      <c r="W52" t="str">
        <f t="shared" si="6"/>
        <v>OK</v>
      </c>
      <c r="X52" t="str">
        <f t="shared" si="7"/>
        <v>OK</v>
      </c>
      <c r="Y52" s="107" t="s">
        <v>110</v>
      </c>
      <c r="Z52" s="84" t="s">
        <v>16</v>
      </c>
      <c r="AA52" t="str">
        <f t="shared" si="8"/>
        <v>FULL</v>
      </c>
      <c r="AB52" t="str">
        <f t="shared" si="9"/>
        <v>FULL</v>
      </c>
    </row>
    <row r="53" spans="2:28">
      <c r="B53" s="79">
        <v>46</v>
      </c>
      <c r="C53" s="104" t="s">
        <v>111</v>
      </c>
      <c r="D53" s="105">
        <f t="shared" si="10"/>
        <v>525</v>
      </c>
      <c r="E53" s="105">
        <f t="shared" si="12"/>
        <v>538</v>
      </c>
      <c r="F53" s="105">
        <v>14</v>
      </c>
      <c r="G53" s="82" t="s">
        <v>112</v>
      </c>
      <c r="H53" s="105" t="s">
        <v>113</v>
      </c>
      <c r="I53" s="107" t="s">
        <v>114</v>
      </c>
      <c r="J53" s="84" t="s">
        <v>16</v>
      </c>
      <c r="K53" t="str">
        <f t="shared" si="0"/>
        <v>OK</v>
      </c>
      <c r="L53" t="str">
        <f t="shared" si="1"/>
        <v>OK</v>
      </c>
      <c r="M53" s="163" t="s">
        <v>114</v>
      </c>
      <c r="N53" s="158" t="s">
        <v>16</v>
      </c>
      <c r="O53" t="str">
        <f t="shared" si="2"/>
        <v>OK</v>
      </c>
      <c r="P53" t="str">
        <f t="shared" si="3"/>
        <v>OK</v>
      </c>
      <c r="Q53" s="107" t="s">
        <v>114</v>
      </c>
      <c r="R53" s="115" t="s">
        <v>16</v>
      </c>
      <c r="S53" t="str">
        <f t="shared" si="4"/>
        <v>OK</v>
      </c>
      <c r="T53" t="str">
        <f t="shared" si="5"/>
        <v>OK</v>
      </c>
      <c r="U53" s="107" t="s">
        <v>114</v>
      </c>
      <c r="V53" s="115" t="s">
        <v>16</v>
      </c>
      <c r="W53" t="str">
        <f t="shared" si="6"/>
        <v>OK</v>
      </c>
      <c r="X53" t="str">
        <f t="shared" si="7"/>
        <v>OK</v>
      </c>
      <c r="Y53" s="107" t="s">
        <v>114</v>
      </c>
      <c r="Z53" s="84" t="s">
        <v>16</v>
      </c>
      <c r="AA53" t="str">
        <f t="shared" si="8"/>
        <v>FULL</v>
      </c>
      <c r="AB53" t="str">
        <f t="shared" si="9"/>
        <v>FULL</v>
      </c>
    </row>
    <row r="54" spans="2:28">
      <c r="B54" s="79">
        <v>47</v>
      </c>
      <c r="C54" s="104" t="s">
        <v>115</v>
      </c>
      <c r="D54" s="105">
        <f t="shared" si="10"/>
        <v>539</v>
      </c>
      <c r="E54" s="105">
        <f t="shared" si="12"/>
        <v>558</v>
      </c>
      <c r="F54" s="105">
        <v>20</v>
      </c>
      <c r="G54" s="106" t="s">
        <v>13</v>
      </c>
      <c r="H54" s="105" t="s">
        <v>109</v>
      </c>
      <c r="I54" s="107" t="s">
        <v>116</v>
      </c>
      <c r="J54" s="84" t="s">
        <v>16</v>
      </c>
      <c r="K54" t="str">
        <f t="shared" si="0"/>
        <v>OK</v>
      </c>
      <c r="L54" t="str">
        <f t="shared" si="1"/>
        <v>OK</v>
      </c>
      <c r="M54" s="107" t="s">
        <v>116</v>
      </c>
      <c r="N54" s="115" t="s">
        <v>16</v>
      </c>
      <c r="O54" t="str">
        <f t="shared" si="2"/>
        <v>OK</v>
      </c>
      <c r="P54" t="str">
        <f t="shared" si="3"/>
        <v>OK</v>
      </c>
      <c r="Q54" s="107" t="s">
        <v>116</v>
      </c>
      <c r="R54" s="115" t="s">
        <v>16</v>
      </c>
      <c r="S54" t="str">
        <f t="shared" si="4"/>
        <v>OK</v>
      </c>
      <c r="T54" t="str">
        <f t="shared" si="5"/>
        <v>OK</v>
      </c>
      <c r="U54" s="107" t="s">
        <v>116</v>
      </c>
      <c r="V54" s="115" t="s">
        <v>16</v>
      </c>
      <c r="W54" t="str">
        <f t="shared" si="6"/>
        <v>OK</v>
      </c>
      <c r="X54" t="str">
        <f t="shared" si="7"/>
        <v>OK</v>
      </c>
      <c r="Y54" s="107" t="s">
        <v>116</v>
      </c>
      <c r="Z54" s="84" t="s">
        <v>16</v>
      </c>
      <c r="AA54" t="str">
        <f t="shared" si="8"/>
        <v>FULL</v>
      </c>
      <c r="AB54" t="str">
        <f t="shared" si="9"/>
        <v>FULL</v>
      </c>
    </row>
    <row r="55" spans="2:28">
      <c r="B55" s="79">
        <v>48</v>
      </c>
      <c r="C55" s="104" t="s">
        <v>117</v>
      </c>
      <c r="D55" s="105">
        <f t="shared" si="10"/>
        <v>559</v>
      </c>
      <c r="E55" s="105">
        <f t="shared" si="12"/>
        <v>576</v>
      </c>
      <c r="F55" s="105">
        <v>18</v>
      </c>
      <c r="G55" s="106" t="s">
        <v>67</v>
      </c>
      <c r="H55" s="105" t="s">
        <v>118</v>
      </c>
      <c r="I55" s="107" t="s">
        <v>119</v>
      </c>
      <c r="J55" s="84" t="s">
        <v>16</v>
      </c>
      <c r="K55" t="str">
        <f t="shared" si="0"/>
        <v>NO</v>
      </c>
      <c r="L55" t="str">
        <f t="shared" si="1"/>
        <v>OK</v>
      </c>
      <c r="M55" s="163" t="s">
        <v>363</v>
      </c>
      <c r="N55" s="158" t="s">
        <v>16</v>
      </c>
      <c r="O55" t="str">
        <f t="shared" si="2"/>
        <v>OK</v>
      </c>
      <c r="P55" t="str">
        <f t="shared" si="3"/>
        <v>OK</v>
      </c>
      <c r="Q55" s="107" t="s">
        <v>119</v>
      </c>
      <c r="R55" s="115" t="s">
        <v>16</v>
      </c>
      <c r="S55" t="str">
        <f t="shared" si="4"/>
        <v>OK</v>
      </c>
      <c r="T55" t="str">
        <f t="shared" si="5"/>
        <v>OK</v>
      </c>
      <c r="U55" s="107" t="s">
        <v>119</v>
      </c>
      <c r="V55" s="115" t="s">
        <v>16</v>
      </c>
      <c r="W55" t="str">
        <f t="shared" si="6"/>
        <v>OK</v>
      </c>
      <c r="X55" t="str">
        <f t="shared" si="7"/>
        <v>OK</v>
      </c>
      <c r="Y55" s="107" t="s">
        <v>119</v>
      </c>
      <c r="Z55" s="84" t="s">
        <v>16</v>
      </c>
      <c r="AA55" t="str">
        <f t="shared" si="8"/>
        <v>PARTIAL</v>
      </c>
      <c r="AB55" t="str">
        <f t="shared" si="9"/>
        <v>FULL</v>
      </c>
    </row>
    <row r="56" spans="2:28">
      <c r="B56" s="79">
        <v>49</v>
      </c>
      <c r="C56" s="80" t="s">
        <v>120</v>
      </c>
      <c r="D56" s="81">
        <f t="shared" si="10"/>
        <v>577</v>
      </c>
      <c r="E56" s="81">
        <f t="shared" si="12"/>
        <v>584</v>
      </c>
      <c r="F56" s="81">
        <v>8</v>
      </c>
      <c r="G56" s="82" t="s">
        <v>121</v>
      </c>
      <c r="H56" s="81" t="s">
        <v>82</v>
      </c>
      <c r="I56" s="83" t="s">
        <v>122</v>
      </c>
      <c r="J56" s="84" t="s">
        <v>16</v>
      </c>
      <c r="K56" t="str">
        <f t="shared" si="0"/>
        <v>OK</v>
      </c>
      <c r="L56" t="str">
        <f t="shared" si="1"/>
        <v>OK</v>
      </c>
      <c r="M56" s="163" t="s">
        <v>122</v>
      </c>
      <c r="N56" s="158" t="s">
        <v>16</v>
      </c>
      <c r="O56" t="str">
        <f t="shared" si="2"/>
        <v>OK</v>
      </c>
      <c r="P56" t="str">
        <f t="shared" si="3"/>
        <v>OK</v>
      </c>
      <c r="Q56" s="83" t="s">
        <v>122</v>
      </c>
      <c r="R56" s="115" t="s">
        <v>16</v>
      </c>
      <c r="S56" t="str">
        <f t="shared" si="4"/>
        <v>OK</v>
      </c>
      <c r="T56" t="str">
        <f t="shared" si="5"/>
        <v>OK</v>
      </c>
      <c r="U56" s="83" t="s">
        <v>122</v>
      </c>
      <c r="V56" s="115" t="s">
        <v>16</v>
      </c>
      <c r="W56" t="str">
        <f t="shared" si="6"/>
        <v>OK</v>
      </c>
      <c r="X56" t="str">
        <f t="shared" si="7"/>
        <v>OK</v>
      </c>
      <c r="Y56" s="83" t="s">
        <v>122</v>
      </c>
      <c r="Z56" s="84" t="s">
        <v>16</v>
      </c>
      <c r="AA56" t="str">
        <f t="shared" si="8"/>
        <v>FULL</v>
      </c>
      <c r="AB56" t="str">
        <f t="shared" si="9"/>
        <v>FULL</v>
      </c>
    </row>
    <row r="57" spans="2:28">
      <c r="B57" s="91">
        <v>50</v>
      </c>
      <c r="C57" s="80" t="s">
        <v>123</v>
      </c>
      <c r="D57" s="81">
        <f t="shared" si="10"/>
        <v>585</v>
      </c>
      <c r="E57" s="81">
        <f t="shared" si="12"/>
        <v>598</v>
      </c>
      <c r="F57" s="81">
        <v>14</v>
      </c>
      <c r="G57" s="82" t="s">
        <v>13</v>
      </c>
      <c r="H57" s="81" t="s">
        <v>109</v>
      </c>
      <c r="I57" s="83" t="s">
        <v>124</v>
      </c>
      <c r="J57" s="84" t="s">
        <v>16</v>
      </c>
      <c r="K57" t="str">
        <f t="shared" si="0"/>
        <v>OK</v>
      </c>
      <c r="L57" t="str">
        <f t="shared" si="1"/>
        <v>OK</v>
      </c>
      <c r="M57" s="83" t="s">
        <v>124</v>
      </c>
      <c r="N57" s="115" t="s">
        <v>16</v>
      </c>
      <c r="O57" t="str">
        <f t="shared" si="2"/>
        <v>OK</v>
      </c>
      <c r="P57" t="str">
        <f t="shared" si="3"/>
        <v>OK</v>
      </c>
      <c r="Q57" s="83" t="s">
        <v>124</v>
      </c>
      <c r="R57" s="115" t="s">
        <v>16</v>
      </c>
      <c r="S57" t="str">
        <f t="shared" si="4"/>
        <v>OK</v>
      </c>
      <c r="T57" t="str">
        <f t="shared" si="5"/>
        <v>OK</v>
      </c>
      <c r="U57" s="83" t="s">
        <v>124</v>
      </c>
      <c r="V57" s="115" t="s">
        <v>16</v>
      </c>
      <c r="W57" t="str">
        <f t="shared" si="6"/>
        <v>OK</v>
      </c>
      <c r="X57" t="str">
        <f t="shared" si="7"/>
        <v>OK</v>
      </c>
      <c r="Y57" s="83" t="s">
        <v>124</v>
      </c>
      <c r="Z57" s="84" t="s">
        <v>16</v>
      </c>
      <c r="AA57" t="str">
        <f t="shared" si="8"/>
        <v>FULL</v>
      </c>
      <c r="AB57" t="str">
        <f t="shared" si="9"/>
        <v>FULL</v>
      </c>
    </row>
    <row r="58" spans="2:28">
      <c r="B58" s="79">
        <v>51</v>
      </c>
      <c r="C58" s="80" t="s">
        <v>125</v>
      </c>
      <c r="D58" s="81">
        <f t="shared" si="10"/>
        <v>599</v>
      </c>
      <c r="E58" s="81">
        <f t="shared" si="12"/>
        <v>601</v>
      </c>
      <c r="F58" s="81">
        <v>3</v>
      </c>
      <c r="G58" s="82" t="s">
        <v>13</v>
      </c>
      <c r="H58" s="81" t="s">
        <v>109</v>
      </c>
      <c r="I58" s="83" t="s">
        <v>91</v>
      </c>
      <c r="J58" s="84" t="s">
        <v>16</v>
      </c>
      <c r="K58" t="str">
        <f t="shared" si="0"/>
        <v>OK</v>
      </c>
      <c r="L58" t="str">
        <f t="shared" si="1"/>
        <v>OK</v>
      </c>
      <c r="M58" s="83" t="s">
        <v>91</v>
      </c>
      <c r="N58" s="115" t="s">
        <v>16</v>
      </c>
      <c r="O58" t="str">
        <f t="shared" si="2"/>
        <v>OK</v>
      </c>
      <c r="P58" t="str">
        <f t="shared" si="3"/>
        <v>OK</v>
      </c>
      <c r="Q58" s="83" t="s">
        <v>91</v>
      </c>
      <c r="R58" s="115" t="s">
        <v>16</v>
      </c>
      <c r="S58" t="str">
        <f t="shared" si="4"/>
        <v>OK</v>
      </c>
      <c r="T58" t="str">
        <f t="shared" si="5"/>
        <v>OK</v>
      </c>
      <c r="U58" s="83" t="s">
        <v>91</v>
      </c>
      <c r="V58" s="115" t="s">
        <v>16</v>
      </c>
      <c r="W58" t="str">
        <f t="shared" si="6"/>
        <v>OK</v>
      </c>
      <c r="X58" t="str">
        <f t="shared" si="7"/>
        <v>OK</v>
      </c>
      <c r="Y58" s="83" t="s">
        <v>91</v>
      </c>
      <c r="Z58" s="84" t="s">
        <v>16</v>
      </c>
      <c r="AA58" t="str">
        <f t="shared" si="8"/>
        <v>FULL</v>
      </c>
      <c r="AB58" t="str">
        <f t="shared" si="9"/>
        <v>FULL</v>
      </c>
    </row>
    <row r="59" spans="2:28">
      <c r="B59" s="79">
        <v>52</v>
      </c>
      <c r="C59" s="80" t="s">
        <v>126</v>
      </c>
      <c r="D59" s="81">
        <f t="shared" si="10"/>
        <v>602</v>
      </c>
      <c r="E59" s="81">
        <f t="shared" si="12"/>
        <v>608</v>
      </c>
      <c r="F59" s="81">
        <v>7</v>
      </c>
      <c r="G59" s="82" t="s">
        <v>13</v>
      </c>
      <c r="H59" s="81" t="s">
        <v>127</v>
      </c>
      <c r="I59" s="83" t="s">
        <v>88</v>
      </c>
      <c r="J59" s="84" t="s">
        <v>16</v>
      </c>
      <c r="K59" t="str">
        <f t="shared" si="0"/>
        <v>OK</v>
      </c>
      <c r="L59" t="str">
        <f t="shared" si="1"/>
        <v>OK</v>
      </c>
      <c r="M59" s="83" t="s">
        <v>88</v>
      </c>
      <c r="N59" s="115" t="s">
        <v>16</v>
      </c>
      <c r="O59" t="str">
        <f t="shared" si="2"/>
        <v>OK</v>
      </c>
      <c r="P59" t="str">
        <f t="shared" si="3"/>
        <v>OK</v>
      </c>
      <c r="Q59" s="83" t="s">
        <v>88</v>
      </c>
      <c r="R59" s="115" t="s">
        <v>16</v>
      </c>
      <c r="S59" t="str">
        <f t="shared" si="4"/>
        <v>OK</v>
      </c>
      <c r="T59" t="str">
        <f t="shared" si="5"/>
        <v>OK</v>
      </c>
      <c r="U59" s="83" t="s">
        <v>88</v>
      </c>
      <c r="V59" s="115" t="s">
        <v>16</v>
      </c>
      <c r="W59" t="str">
        <f t="shared" si="6"/>
        <v>OK</v>
      </c>
      <c r="X59" t="str">
        <f t="shared" si="7"/>
        <v>OK</v>
      </c>
      <c r="Y59" s="83" t="s">
        <v>88</v>
      </c>
      <c r="Z59" s="84" t="s">
        <v>16</v>
      </c>
      <c r="AA59" t="str">
        <f t="shared" si="8"/>
        <v>FULL</v>
      </c>
      <c r="AB59" t="str">
        <f t="shared" si="9"/>
        <v>FULL</v>
      </c>
    </row>
    <row r="60" spans="2:28">
      <c r="B60" s="79">
        <v>53</v>
      </c>
      <c r="C60" s="80" t="s">
        <v>128</v>
      </c>
      <c r="D60" s="81">
        <f t="shared" si="10"/>
        <v>609</v>
      </c>
      <c r="E60" s="81">
        <f t="shared" si="12"/>
        <v>616</v>
      </c>
      <c r="F60" s="81">
        <v>8</v>
      </c>
      <c r="G60" s="82" t="s">
        <v>13</v>
      </c>
      <c r="H60" s="81" t="s">
        <v>127</v>
      </c>
      <c r="I60" s="83" t="s">
        <v>88</v>
      </c>
      <c r="J60" s="84" t="s">
        <v>16</v>
      </c>
      <c r="K60" t="str">
        <f t="shared" si="0"/>
        <v>OK</v>
      </c>
      <c r="L60" t="str">
        <f t="shared" si="1"/>
        <v>OK</v>
      </c>
      <c r="M60" s="83" t="s">
        <v>88</v>
      </c>
      <c r="N60" s="115" t="s">
        <v>16</v>
      </c>
      <c r="O60" t="str">
        <f t="shared" si="2"/>
        <v>OK</v>
      </c>
      <c r="P60" t="str">
        <f t="shared" si="3"/>
        <v>OK</v>
      </c>
      <c r="Q60" s="83" t="s">
        <v>88</v>
      </c>
      <c r="R60" s="115" t="s">
        <v>16</v>
      </c>
      <c r="S60" t="str">
        <f t="shared" si="4"/>
        <v>OK</v>
      </c>
      <c r="T60" t="str">
        <f t="shared" si="5"/>
        <v>OK</v>
      </c>
      <c r="U60" s="83" t="s">
        <v>88</v>
      </c>
      <c r="V60" s="115" t="s">
        <v>16</v>
      </c>
      <c r="W60" t="str">
        <f t="shared" si="6"/>
        <v>OK</v>
      </c>
      <c r="X60" t="str">
        <f t="shared" si="7"/>
        <v>OK</v>
      </c>
      <c r="Y60" s="83" t="s">
        <v>88</v>
      </c>
      <c r="Z60" s="84" t="s">
        <v>16</v>
      </c>
      <c r="AA60" t="str">
        <f t="shared" si="8"/>
        <v>FULL</v>
      </c>
      <c r="AB60" t="str">
        <f t="shared" si="9"/>
        <v>FULL</v>
      </c>
    </row>
    <row r="61" spans="2:28">
      <c r="B61" s="79">
        <v>54</v>
      </c>
      <c r="C61" s="80" t="s">
        <v>129</v>
      </c>
      <c r="D61" s="81">
        <f t="shared" si="10"/>
        <v>617</v>
      </c>
      <c r="E61" s="81">
        <f t="shared" si="12"/>
        <v>631</v>
      </c>
      <c r="F61" s="81">
        <v>15</v>
      </c>
      <c r="G61" s="82" t="s">
        <v>13</v>
      </c>
      <c r="H61" s="81" t="s">
        <v>127</v>
      </c>
      <c r="I61" s="83" t="s">
        <v>88</v>
      </c>
      <c r="J61" s="84" t="s">
        <v>16</v>
      </c>
      <c r="K61" t="str">
        <f t="shared" si="0"/>
        <v>OK</v>
      </c>
      <c r="L61" t="str">
        <f t="shared" si="1"/>
        <v>OK</v>
      </c>
      <c r="M61" s="83" t="s">
        <v>88</v>
      </c>
      <c r="N61" s="115" t="s">
        <v>16</v>
      </c>
      <c r="O61" t="str">
        <f t="shared" si="2"/>
        <v>OK</v>
      </c>
      <c r="P61" t="str">
        <f t="shared" si="3"/>
        <v>OK</v>
      </c>
      <c r="Q61" s="83" t="s">
        <v>88</v>
      </c>
      <c r="R61" s="115" t="s">
        <v>16</v>
      </c>
      <c r="S61" t="str">
        <f t="shared" si="4"/>
        <v>OK</v>
      </c>
      <c r="T61" t="str">
        <f t="shared" si="5"/>
        <v>OK</v>
      </c>
      <c r="U61" s="83" t="s">
        <v>88</v>
      </c>
      <c r="V61" s="115" t="s">
        <v>16</v>
      </c>
      <c r="W61" t="str">
        <f t="shared" si="6"/>
        <v>OK</v>
      </c>
      <c r="X61" t="str">
        <f t="shared" si="7"/>
        <v>OK</v>
      </c>
      <c r="Y61" s="83" t="s">
        <v>88</v>
      </c>
      <c r="Z61" s="84" t="s">
        <v>16</v>
      </c>
      <c r="AA61" t="str">
        <f t="shared" si="8"/>
        <v>FULL</v>
      </c>
      <c r="AB61" t="str">
        <f t="shared" si="9"/>
        <v>FULL</v>
      </c>
    </row>
    <row r="62" spans="2:28">
      <c r="B62" s="79">
        <v>55</v>
      </c>
      <c r="C62" s="80" t="s">
        <v>44</v>
      </c>
      <c r="D62" s="81">
        <f t="shared" si="10"/>
        <v>632</v>
      </c>
      <c r="E62" s="81">
        <f t="shared" si="12"/>
        <v>646</v>
      </c>
      <c r="F62" s="81">
        <v>15</v>
      </c>
      <c r="G62" s="82" t="s">
        <v>130</v>
      </c>
      <c r="H62" s="81" t="s">
        <v>14</v>
      </c>
      <c r="I62" s="83" t="s">
        <v>131</v>
      </c>
      <c r="J62" s="84" t="s">
        <v>132</v>
      </c>
      <c r="K62" t="str">
        <f t="shared" si="0"/>
        <v>OK</v>
      </c>
      <c r="L62" t="str">
        <f t="shared" si="1"/>
        <v>OK</v>
      </c>
      <c r="M62" s="83" t="s">
        <v>131</v>
      </c>
      <c r="N62" s="115" t="s">
        <v>132</v>
      </c>
      <c r="O62" t="str">
        <f t="shared" si="2"/>
        <v>OK</v>
      </c>
      <c r="P62" t="str">
        <f t="shared" si="3"/>
        <v>OK</v>
      </c>
      <c r="Q62" s="83" t="s">
        <v>131</v>
      </c>
      <c r="R62" s="115" t="s">
        <v>132</v>
      </c>
      <c r="S62" t="str">
        <f t="shared" si="4"/>
        <v>OK</v>
      </c>
      <c r="T62" t="str">
        <f t="shared" si="5"/>
        <v>OK</v>
      </c>
      <c r="U62" s="83" t="s">
        <v>131</v>
      </c>
      <c r="V62" s="115" t="s">
        <v>132</v>
      </c>
      <c r="W62" t="str">
        <f t="shared" si="6"/>
        <v>OK</v>
      </c>
      <c r="X62" t="str">
        <f t="shared" si="7"/>
        <v>OK</v>
      </c>
      <c r="Y62" s="83" t="s">
        <v>131</v>
      </c>
      <c r="Z62" s="84" t="s">
        <v>132</v>
      </c>
      <c r="AA62" t="str">
        <f t="shared" si="8"/>
        <v>FULL</v>
      </c>
      <c r="AB62" t="str">
        <f t="shared" si="9"/>
        <v>FULL</v>
      </c>
    </row>
    <row r="63" spans="2:28">
      <c r="B63" s="91">
        <v>56</v>
      </c>
      <c r="C63" s="80" t="s">
        <v>47</v>
      </c>
      <c r="D63" s="81">
        <f t="shared" si="10"/>
        <v>647</v>
      </c>
      <c r="E63" s="81">
        <f t="shared" si="12"/>
        <v>661</v>
      </c>
      <c r="F63" s="81">
        <v>15</v>
      </c>
      <c r="G63" s="82" t="s">
        <v>130</v>
      </c>
      <c r="H63" s="81" t="s">
        <v>14</v>
      </c>
      <c r="I63" s="83" t="s">
        <v>133</v>
      </c>
      <c r="J63" s="84" t="s">
        <v>132</v>
      </c>
      <c r="K63" t="str">
        <f t="shared" si="0"/>
        <v>OK</v>
      </c>
      <c r="L63" t="str">
        <f t="shared" si="1"/>
        <v>OK</v>
      </c>
      <c r="M63" s="83" t="s">
        <v>133</v>
      </c>
      <c r="N63" s="115" t="s">
        <v>132</v>
      </c>
      <c r="O63" t="str">
        <f t="shared" si="2"/>
        <v>OK</v>
      </c>
      <c r="P63" t="str">
        <f t="shared" si="3"/>
        <v>OK</v>
      </c>
      <c r="Q63" s="83" t="s">
        <v>133</v>
      </c>
      <c r="R63" s="115" t="s">
        <v>132</v>
      </c>
      <c r="S63" t="str">
        <f t="shared" si="4"/>
        <v>OK</v>
      </c>
      <c r="T63" t="str">
        <f t="shared" si="5"/>
        <v>OK</v>
      </c>
      <c r="U63" s="83" t="s">
        <v>133</v>
      </c>
      <c r="V63" s="115" t="s">
        <v>132</v>
      </c>
      <c r="W63" t="str">
        <f t="shared" si="6"/>
        <v>OK</v>
      </c>
      <c r="X63" t="str">
        <f t="shared" si="7"/>
        <v>OK</v>
      </c>
      <c r="Y63" s="83" t="s">
        <v>133</v>
      </c>
      <c r="Z63" s="84" t="s">
        <v>132</v>
      </c>
      <c r="AA63" t="str">
        <f t="shared" si="8"/>
        <v>FULL</v>
      </c>
      <c r="AB63" t="str">
        <f t="shared" si="9"/>
        <v>FULL</v>
      </c>
    </row>
    <row r="64" spans="2:28">
      <c r="B64" s="79">
        <v>57</v>
      </c>
      <c r="C64" s="80" t="s">
        <v>134</v>
      </c>
      <c r="D64" s="81">
        <f t="shared" si="10"/>
        <v>662</v>
      </c>
      <c r="E64" s="81">
        <f t="shared" si="12"/>
        <v>671</v>
      </c>
      <c r="F64" s="81">
        <v>10</v>
      </c>
      <c r="G64" s="82" t="s">
        <v>13</v>
      </c>
      <c r="H64" s="81" t="s">
        <v>14</v>
      </c>
      <c r="I64" s="83" t="s">
        <v>135</v>
      </c>
      <c r="J64" s="84" t="s">
        <v>16</v>
      </c>
      <c r="K64" t="str">
        <f t="shared" si="0"/>
        <v>OK</v>
      </c>
      <c r="L64" t="str">
        <f t="shared" si="1"/>
        <v>OK</v>
      </c>
      <c r="M64" s="83" t="s">
        <v>135</v>
      </c>
      <c r="N64" s="115" t="s">
        <v>16</v>
      </c>
      <c r="O64" t="str">
        <f t="shared" si="2"/>
        <v>OK</v>
      </c>
      <c r="P64" t="str">
        <f t="shared" si="3"/>
        <v>OK</v>
      </c>
      <c r="Q64" s="83" t="s">
        <v>135</v>
      </c>
      <c r="R64" s="115" t="s">
        <v>16</v>
      </c>
      <c r="S64" t="str">
        <f t="shared" si="4"/>
        <v>OK</v>
      </c>
      <c r="T64" t="str">
        <f t="shared" si="5"/>
        <v>OK</v>
      </c>
      <c r="U64" s="83" t="s">
        <v>135</v>
      </c>
      <c r="V64" s="115" t="s">
        <v>16</v>
      </c>
      <c r="W64" t="str">
        <f t="shared" si="6"/>
        <v>OK</v>
      </c>
      <c r="X64" t="str">
        <f t="shared" si="7"/>
        <v>OK</v>
      </c>
      <c r="Y64" s="83" t="s">
        <v>135</v>
      </c>
      <c r="Z64" s="84" t="s">
        <v>16</v>
      </c>
      <c r="AA64" t="str">
        <f t="shared" si="8"/>
        <v>FULL</v>
      </c>
      <c r="AB64" t="str">
        <f t="shared" si="9"/>
        <v>FULL</v>
      </c>
    </row>
    <row r="65" spans="2:28">
      <c r="B65" s="91">
        <v>58</v>
      </c>
      <c r="C65" s="80" t="s">
        <v>136</v>
      </c>
      <c r="D65" s="81">
        <f t="shared" si="10"/>
        <v>672</v>
      </c>
      <c r="E65" s="81">
        <f t="shared" si="12"/>
        <v>685</v>
      </c>
      <c r="F65" s="81">
        <v>14</v>
      </c>
      <c r="G65" s="82" t="s">
        <v>85</v>
      </c>
      <c r="H65" s="81" t="s">
        <v>109</v>
      </c>
      <c r="I65" s="83" t="s">
        <v>137</v>
      </c>
      <c r="J65" s="84" t="s">
        <v>16</v>
      </c>
      <c r="K65" t="str">
        <f t="shared" si="0"/>
        <v>OK</v>
      </c>
      <c r="L65" t="str">
        <f t="shared" si="1"/>
        <v>OK</v>
      </c>
      <c r="M65" s="83" t="s">
        <v>137</v>
      </c>
      <c r="N65" s="115" t="s">
        <v>16</v>
      </c>
      <c r="O65" t="str">
        <f t="shared" si="2"/>
        <v>OK</v>
      </c>
      <c r="P65" t="str">
        <f t="shared" si="3"/>
        <v>OK</v>
      </c>
      <c r="Q65" s="83" t="s">
        <v>137</v>
      </c>
      <c r="R65" s="115" t="s">
        <v>16</v>
      </c>
      <c r="S65" t="str">
        <f t="shared" si="4"/>
        <v>OK</v>
      </c>
      <c r="T65" t="str">
        <f t="shared" si="5"/>
        <v>OK</v>
      </c>
      <c r="U65" s="83" t="s">
        <v>137</v>
      </c>
      <c r="V65" s="115" t="s">
        <v>16</v>
      </c>
      <c r="W65" t="str">
        <f t="shared" si="6"/>
        <v>OK</v>
      </c>
      <c r="X65" t="str">
        <f t="shared" si="7"/>
        <v>OK</v>
      </c>
      <c r="Y65" s="83" t="s">
        <v>137</v>
      </c>
      <c r="Z65" s="84" t="s">
        <v>16</v>
      </c>
      <c r="AA65" t="str">
        <f t="shared" si="8"/>
        <v>FULL</v>
      </c>
      <c r="AB65" t="str">
        <f t="shared" si="9"/>
        <v>FULL</v>
      </c>
    </row>
    <row r="66" spans="2:28">
      <c r="B66" s="91">
        <v>59</v>
      </c>
      <c r="C66" s="109" t="s">
        <v>138</v>
      </c>
      <c r="D66" s="110">
        <f t="shared" si="10"/>
        <v>686</v>
      </c>
      <c r="E66" s="110">
        <f t="shared" si="12"/>
        <v>699</v>
      </c>
      <c r="F66" s="110">
        <v>14</v>
      </c>
      <c r="G66" s="111" t="s">
        <v>85</v>
      </c>
      <c r="H66" s="110" t="s">
        <v>109</v>
      </c>
      <c r="I66" s="192" t="s">
        <v>139</v>
      </c>
      <c r="J66" s="84" t="s">
        <v>16</v>
      </c>
      <c r="K66" t="str">
        <f t="shared" si="0"/>
        <v>OK</v>
      </c>
      <c r="L66" t="str">
        <f t="shared" si="1"/>
        <v>OK</v>
      </c>
      <c r="M66" s="192" t="s">
        <v>139</v>
      </c>
      <c r="N66" s="115" t="s">
        <v>16</v>
      </c>
      <c r="O66" t="str">
        <f t="shared" si="2"/>
        <v>OK</v>
      </c>
      <c r="P66" t="str">
        <f t="shared" si="3"/>
        <v>OK</v>
      </c>
      <c r="Q66" s="192" t="s">
        <v>139</v>
      </c>
      <c r="R66" s="115" t="s">
        <v>16</v>
      </c>
      <c r="S66" t="str">
        <f t="shared" si="4"/>
        <v>OK</v>
      </c>
      <c r="T66" t="str">
        <f t="shared" si="5"/>
        <v>OK</v>
      </c>
      <c r="U66" s="192" t="s">
        <v>139</v>
      </c>
      <c r="V66" s="115" t="s">
        <v>16</v>
      </c>
      <c r="W66" t="str">
        <f t="shared" si="6"/>
        <v>OK</v>
      </c>
      <c r="X66" t="str">
        <f t="shared" si="7"/>
        <v>OK</v>
      </c>
      <c r="Y66" s="192" t="s">
        <v>139</v>
      </c>
      <c r="Z66" s="84" t="s">
        <v>16</v>
      </c>
      <c r="AA66" t="str">
        <f t="shared" si="8"/>
        <v>FULL</v>
      </c>
      <c r="AB66" t="str">
        <f t="shared" si="9"/>
        <v>FULL</v>
      </c>
    </row>
    <row r="67" spans="2:28">
      <c r="B67" s="79">
        <v>60</v>
      </c>
      <c r="C67" s="80" t="s">
        <v>140</v>
      </c>
      <c r="D67" s="81">
        <f t="shared" si="10"/>
        <v>700</v>
      </c>
      <c r="E67" s="81">
        <f t="shared" si="12"/>
        <v>707</v>
      </c>
      <c r="F67" s="81">
        <v>8</v>
      </c>
      <c r="G67" s="82" t="s">
        <v>13</v>
      </c>
      <c r="H67" s="81" t="s">
        <v>109</v>
      </c>
      <c r="I67" s="83" t="s">
        <v>88</v>
      </c>
      <c r="J67" s="113" t="s">
        <v>16</v>
      </c>
      <c r="K67" t="str">
        <f t="shared" si="0"/>
        <v>OK</v>
      </c>
      <c r="L67" t="str">
        <f t="shared" si="1"/>
        <v>OK</v>
      </c>
      <c r="M67" s="83" t="s">
        <v>88</v>
      </c>
      <c r="N67" s="164" t="s">
        <v>16</v>
      </c>
      <c r="O67" t="str">
        <f t="shared" si="2"/>
        <v>OK</v>
      </c>
      <c r="P67" t="str">
        <f t="shared" si="3"/>
        <v>OK</v>
      </c>
      <c r="Q67" s="83" t="s">
        <v>88</v>
      </c>
      <c r="R67" s="164" t="s">
        <v>16</v>
      </c>
      <c r="S67" t="str">
        <f t="shared" si="4"/>
        <v>OK</v>
      </c>
      <c r="T67" t="str">
        <f t="shared" si="5"/>
        <v>OK</v>
      </c>
      <c r="U67" s="83" t="s">
        <v>88</v>
      </c>
      <c r="V67" s="164" t="s">
        <v>16</v>
      </c>
      <c r="W67" t="str">
        <f t="shared" si="6"/>
        <v>OK</v>
      </c>
      <c r="X67" t="str">
        <f t="shared" si="7"/>
        <v>OK</v>
      </c>
      <c r="Y67" s="83" t="s">
        <v>88</v>
      </c>
      <c r="Z67" s="113" t="s">
        <v>16</v>
      </c>
      <c r="AA67" t="str">
        <f t="shared" si="8"/>
        <v>FULL</v>
      </c>
      <c r="AB67" t="str">
        <f t="shared" si="9"/>
        <v>FULL</v>
      </c>
    </row>
    <row r="68" spans="2:28">
      <c r="B68" s="79">
        <v>61</v>
      </c>
      <c r="C68" s="80" t="s">
        <v>141</v>
      </c>
      <c r="D68" s="81">
        <f t="shared" si="10"/>
        <v>708</v>
      </c>
      <c r="E68" s="81">
        <f t="shared" si="12"/>
        <v>710</v>
      </c>
      <c r="F68" s="81">
        <v>3</v>
      </c>
      <c r="G68" s="82" t="s">
        <v>13</v>
      </c>
      <c r="H68" s="81" t="s">
        <v>82</v>
      </c>
      <c r="I68" s="83" t="s">
        <v>91</v>
      </c>
      <c r="J68" s="113" t="s">
        <v>16</v>
      </c>
      <c r="K68" t="str">
        <f t="shared" si="0"/>
        <v>OK</v>
      </c>
      <c r="L68" t="str">
        <f t="shared" si="1"/>
        <v>OK</v>
      </c>
      <c r="M68" s="163" t="s">
        <v>91</v>
      </c>
      <c r="N68" s="165" t="s">
        <v>16</v>
      </c>
      <c r="O68" t="str">
        <f t="shared" si="2"/>
        <v>OK</v>
      </c>
      <c r="P68" t="str">
        <f t="shared" si="3"/>
        <v>OK</v>
      </c>
      <c r="Q68" s="83" t="s">
        <v>91</v>
      </c>
      <c r="R68" s="164" t="s">
        <v>16</v>
      </c>
      <c r="S68" t="str">
        <f t="shared" si="4"/>
        <v>OK</v>
      </c>
      <c r="T68" t="str">
        <f t="shared" si="5"/>
        <v>OK</v>
      </c>
      <c r="U68" s="83" t="s">
        <v>91</v>
      </c>
      <c r="V68" s="164" t="s">
        <v>16</v>
      </c>
      <c r="W68" t="str">
        <f t="shared" si="6"/>
        <v>OK</v>
      </c>
      <c r="X68" t="str">
        <f t="shared" si="7"/>
        <v>OK</v>
      </c>
      <c r="Y68" s="83" t="s">
        <v>91</v>
      </c>
      <c r="Z68" s="113" t="s">
        <v>16</v>
      </c>
      <c r="AA68" t="str">
        <f t="shared" si="8"/>
        <v>FULL</v>
      </c>
      <c r="AB68" t="str">
        <f t="shared" si="9"/>
        <v>FULL</v>
      </c>
    </row>
    <row r="69" spans="2:28">
      <c r="B69" s="79">
        <v>62</v>
      </c>
      <c r="C69" s="80" t="s">
        <v>142</v>
      </c>
      <c r="D69" s="81">
        <f t="shared" si="10"/>
        <v>711</v>
      </c>
      <c r="E69" s="81">
        <f t="shared" si="12"/>
        <v>727</v>
      </c>
      <c r="F69" s="81">
        <v>17</v>
      </c>
      <c r="G69" s="82" t="s">
        <v>52</v>
      </c>
      <c r="H69" s="81" t="s">
        <v>82</v>
      </c>
      <c r="I69" s="83" t="s">
        <v>143</v>
      </c>
      <c r="J69" s="113" t="s">
        <v>16</v>
      </c>
      <c r="K69" t="str">
        <f t="shared" si="0"/>
        <v>OK</v>
      </c>
      <c r="L69" t="str">
        <f t="shared" si="1"/>
        <v>OK</v>
      </c>
      <c r="M69" s="163" t="s">
        <v>143</v>
      </c>
      <c r="N69" s="165" t="s">
        <v>16</v>
      </c>
      <c r="O69" t="str">
        <f t="shared" si="2"/>
        <v>OK</v>
      </c>
      <c r="P69" t="str">
        <f t="shared" si="3"/>
        <v>OK</v>
      </c>
      <c r="Q69" s="83" t="s">
        <v>143</v>
      </c>
      <c r="R69" s="164" t="s">
        <v>16</v>
      </c>
      <c r="S69" t="str">
        <f t="shared" si="4"/>
        <v>OK</v>
      </c>
      <c r="T69" t="str">
        <f t="shared" si="5"/>
        <v>OK</v>
      </c>
      <c r="U69" s="83" t="s">
        <v>143</v>
      </c>
      <c r="V69" s="164" t="s">
        <v>16</v>
      </c>
      <c r="W69" t="str">
        <f t="shared" si="6"/>
        <v>OK</v>
      </c>
      <c r="X69" t="str">
        <f t="shared" si="7"/>
        <v>OK</v>
      </c>
      <c r="Y69" s="83" t="s">
        <v>143</v>
      </c>
      <c r="Z69" s="113" t="s">
        <v>16</v>
      </c>
      <c r="AA69" t="str">
        <f t="shared" si="8"/>
        <v>FULL</v>
      </c>
      <c r="AB69" t="str">
        <f t="shared" si="9"/>
        <v>FULL</v>
      </c>
    </row>
    <row r="70" spans="2:28">
      <c r="B70" s="114">
        <v>63</v>
      </c>
      <c r="C70" s="82" t="s">
        <v>144</v>
      </c>
      <c r="D70" s="81">
        <f t="shared" si="10"/>
        <v>728</v>
      </c>
      <c r="E70" s="81">
        <f t="shared" si="12"/>
        <v>797</v>
      </c>
      <c r="F70" s="81">
        <v>70</v>
      </c>
      <c r="G70" s="82" t="s">
        <v>13</v>
      </c>
      <c r="H70" s="81" t="s">
        <v>109</v>
      </c>
      <c r="I70" s="83" t="s">
        <v>145</v>
      </c>
      <c r="J70" s="84" t="s">
        <v>16</v>
      </c>
      <c r="K70" t="str">
        <f t="shared" si="0"/>
        <v>OK</v>
      </c>
      <c r="L70" t="str">
        <f t="shared" si="1"/>
        <v>OK</v>
      </c>
      <c r="M70" s="83" t="s">
        <v>145</v>
      </c>
      <c r="N70" s="115" t="s">
        <v>16</v>
      </c>
      <c r="O70" t="str">
        <f t="shared" si="2"/>
        <v>OK</v>
      </c>
      <c r="P70" t="str">
        <f t="shared" si="3"/>
        <v>OK</v>
      </c>
      <c r="Q70" s="83" t="s">
        <v>145</v>
      </c>
      <c r="R70" s="115" t="s">
        <v>16</v>
      </c>
      <c r="S70" t="str">
        <f t="shared" si="4"/>
        <v>OK</v>
      </c>
      <c r="T70" t="str">
        <f t="shared" si="5"/>
        <v>OK</v>
      </c>
      <c r="U70" s="83" t="s">
        <v>145</v>
      </c>
      <c r="V70" s="115" t="s">
        <v>16</v>
      </c>
      <c r="W70" t="str">
        <f t="shared" si="6"/>
        <v>OK</v>
      </c>
      <c r="X70" t="str">
        <f t="shared" si="7"/>
        <v>OK</v>
      </c>
      <c r="Y70" s="83" t="s">
        <v>145</v>
      </c>
      <c r="Z70" s="84" t="s">
        <v>16</v>
      </c>
      <c r="AA70" t="str">
        <f t="shared" si="8"/>
        <v>FULL</v>
      </c>
      <c r="AB70" t="str">
        <f t="shared" si="9"/>
        <v>FULL</v>
      </c>
    </row>
    <row r="71" spans="2:28">
      <c r="B71" s="114">
        <v>64</v>
      </c>
      <c r="C71" s="82" t="s">
        <v>146</v>
      </c>
      <c r="D71" s="81">
        <f t="shared" si="10"/>
        <v>798</v>
      </c>
      <c r="E71" s="81">
        <f t="shared" si="12"/>
        <v>806</v>
      </c>
      <c r="F71" s="81">
        <v>9</v>
      </c>
      <c r="G71" s="82" t="s">
        <v>13</v>
      </c>
      <c r="H71" s="81" t="s">
        <v>109</v>
      </c>
      <c r="I71" s="83" t="s">
        <v>147</v>
      </c>
      <c r="J71" s="115" t="s">
        <v>16</v>
      </c>
      <c r="K71" t="str">
        <f t="shared" si="0"/>
        <v>OK</v>
      </c>
      <c r="L71" t="str">
        <f t="shared" si="1"/>
        <v>OK</v>
      </c>
      <c r="M71" s="83" t="s">
        <v>147</v>
      </c>
      <c r="N71" s="115" t="s">
        <v>16</v>
      </c>
      <c r="O71" t="str">
        <f t="shared" si="2"/>
        <v>OK</v>
      </c>
      <c r="P71" t="str">
        <f t="shared" si="3"/>
        <v>OK</v>
      </c>
      <c r="Q71" s="83" t="s">
        <v>147</v>
      </c>
      <c r="R71" s="115" t="s">
        <v>16</v>
      </c>
      <c r="S71" t="str">
        <f t="shared" si="4"/>
        <v>OK</v>
      </c>
      <c r="T71" t="str">
        <f t="shared" si="5"/>
        <v>OK</v>
      </c>
      <c r="U71" s="83" t="s">
        <v>147</v>
      </c>
      <c r="V71" s="115" t="s">
        <v>16</v>
      </c>
      <c r="W71" t="str">
        <f t="shared" si="6"/>
        <v>OK</v>
      </c>
      <c r="X71" t="str">
        <f t="shared" si="7"/>
        <v>OK</v>
      </c>
      <c r="Y71" s="83" t="s">
        <v>147</v>
      </c>
      <c r="Z71" s="115" t="s">
        <v>16</v>
      </c>
      <c r="AA71" t="str">
        <f t="shared" si="8"/>
        <v>FULL</v>
      </c>
      <c r="AB71" t="str">
        <f t="shared" si="9"/>
        <v>FULL</v>
      </c>
    </row>
    <row r="72" spans="2:28" ht="14.5" thickBot="1">
      <c r="B72" s="116">
        <v>65</v>
      </c>
      <c r="C72" s="117" t="s">
        <v>148</v>
      </c>
      <c r="D72" s="118">
        <f>+E71+1</f>
        <v>807</v>
      </c>
      <c r="E72" s="118">
        <f t="shared" si="12"/>
        <v>826</v>
      </c>
      <c r="F72" s="118">
        <v>20</v>
      </c>
      <c r="G72" s="119" t="s">
        <v>13</v>
      </c>
      <c r="H72" s="118" t="s">
        <v>109</v>
      </c>
      <c r="I72" s="120" t="s">
        <v>149</v>
      </c>
      <c r="J72" s="115" t="s">
        <v>16</v>
      </c>
      <c r="K72" t="str">
        <f t="shared" si="0"/>
        <v>OK</v>
      </c>
      <c r="L72" t="str">
        <f t="shared" si="1"/>
        <v>OK</v>
      </c>
      <c r="M72" s="120" t="s">
        <v>149</v>
      </c>
      <c r="N72" s="115" t="s">
        <v>16</v>
      </c>
      <c r="O72" t="str">
        <f t="shared" si="2"/>
        <v>OK</v>
      </c>
      <c r="P72" t="str">
        <f t="shared" si="3"/>
        <v>OK</v>
      </c>
      <c r="Q72" s="120" t="s">
        <v>149</v>
      </c>
      <c r="R72" s="115" t="s">
        <v>16</v>
      </c>
      <c r="S72" t="str">
        <f t="shared" si="4"/>
        <v>OK</v>
      </c>
      <c r="T72" t="str">
        <f t="shared" si="5"/>
        <v>OK</v>
      </c>
      <c r="U72" s="120" t="s">
        <v>149</v>
      </c>
      <c r="V72" s="115" t="s">
        <v>16</v>
      </c>
      <c r="W72" t="str">
        <f t="shared" si="6"/>
        <v>OK</v>
      </c>
      <c r="X72" t="str">
        <f t="shared" si="7"/>
        <v>OK</v>
      </c>
      <c r="Y72" s="187" t="s">
        <v>149</v>
      </c>
      <c r="Z72" s="115" t="s">
        <v>16</v>
      </c>
      <c r="AA72" t="str">
        <f t="shared" si="8"/>
        <v>FULL</v>
      </c>
      <c r="AB72" t="str">
        <f t="shared" si="9"/>
        <v>FULL</v>
      </c>
    </row>
    <row r="73" spans="2:28">
      <c r="B73" s="121"/>
      <c r="C73" s="122"/>
      <c r="D73" s="123"/>
      <c r="E73" s="123"/>
      <c r="F73" s="123"/>
      <c r="G73" s="122"/>
      <c r="H73" s="123"/>
      <c r="I73" s="122"/>
      <c r="J73" s="67"/>
    </row>
    <row r="74" spans="2:28">
      <c r="B74" s="124"/>
      <c r="C74" s="125" t="s">
        <v>150</v>
      </c>
      <c r="D74" s="126"/>
      <c r="E74" s="126"/>
      <c r="F74" s="126"/>
      <c r="G74" s="127"/>
      <c r="H74" s="126"/>
      <c r="I74" s="127"/>
      <c r="J74" s="128"/>
    </row>
    <row r="75" spans="2:28">
      <c r="B75" s="124"/>
      <c r="C75" s="129" t="s">
        <v>151</v>
      </c>
      <c r="D75" s="126"/>
      <c r="E75" s="126"/>
      <c r="F75" s="126"/>
      <c r="G75" s="127"/>
      <c r="H75" s="126"/>
      <c r="I75" s="127"/>
      <c r="J75" s="128"/>
    </row>
    <row r="76" spans="2:28">
      <c r="B76" s="124"/>
      <c r="C76" s="129" t="s">
        <v>152</v>
      </c>
      <c r="D76" s="126"/>
      <c r="E76" s="126"/>
      <c r="F76" s="126"/>
      <c r="G76" s="127"/>
      <c r="H76" s="126"/>
      <c r="I76" s="127"/>
      <c r="J76" s="128"/>
    </row>
    <row r="77" spans="2:28">
      <c r="B77" s="124"/>
      <c r="C77" s="129" t="s">
        <v>153</v>
      </c>
      <c r="D77" s="126"/>
      <c r="E77" s="126"/>
      <c r="F77" s="126"/>
      <c r="G77" s="127"/>
      <c r="H77" s="126"/>
      <c r="I77" s="127"/>
      <c r="J77" s="128"/>
    </row>
    <row r="78" spans="2:28" ht="27.75" customHeight="1">
      <c r="B78" s="124"/>
      <c r="C78" s="129"/>
      <c r="D78" s="126"/>
      <c r="E78" s="126"/>
      <c r="F78" s="126"/>
      <c r="G78" s="127"/>
      <c r="H78" s="126"/>
      <c r="I78" s="127"/>
      <c r="J78" s="128"/>
    </row>
    <row r="79" spans="2:28" ht="36.65" customHeight="1">
      <c r="B79" s="130"/>
      <c r="C79" s="203" t="s">
        <v>154</v>
      </c>
      <c r="D79" s="204"/>
      <c r="E79" s="204"/>
      <c r="F79" s="204"/>
      <c r="G79" s="204"/>
      <c r="H79" s="204"/>
      <c r="J79" s="128"/>
    </row>
    <row r="80" spans="2:28" ht="27.75" customHeight="1">
      <c r="B80" s="130"/>
      <c r="C80" s="125"/>
      <c r="J80" s="128"/>
    </row>
    <row r="81" spans="2:10" ht="33" customHeight="1">
      <c r="B81" s="130"/>
      <c r="C81" s="203" t="s">
        <v>155</v>
      </c>
      <c r="D81" s="204"/>
      <c r="E81" s="204"/>
      <c r="F81" s="204"/>
      <c r="G81" s="204"/>
      <c r="H81" s="204"/>
      <c r="J81" s="128"/>
    </row>
    <row r="82" spans="2:10" ht="14.5" thickBot="1">
      <c r="B82" s="68"/>
      <c r="C82" s="131"/>
      <c r="D82" s="131"/>
      <c r="E82" s="131"/>
      <c r="F82" s="131"/>
      <c r="G82" s="131"/>
      <c r="H82" s="131"/>
      <c r="I82" s="131"/>
      <c r="J82" s="72"/>
    </row>
  </sheetData>
  <mergeCells count="2">
    <mergeCell ref="C79:H79"/>
    <mergeCell ref="C81:H81"/>
  </mergeCells>
  <conditionalFormatting sqref="K8:L72">
    <cfRule type="cellIs" dxfId="9" priority="9" stopIfTrue="1" operator="equal">
      <formula>"NO"</formula>
    </cfRule>
    <cfRule type="cellIs" dxfId="8" priority="10" stopIfTrue="1" operator="equal">
      <formula>"OK"</formula>
    </cfRule>
  </conditionalFormatting>
  <conditionalFormatting sqref="O8:P72">
    <cfRule type="cellIs" dxfId="7" priority="7" stopIfTrue="1" operator="equal">
      <formula>"NO"</formula>
    </cfRule>
    <cfRule type="cellIs" dxfId="6" priority="8" stopIfTrue="1" operator="equal">
      <formula>"OK"</formula>
    </cfRule>
  </conditionalFormatting>
  <conditionalFormatting sqref="S8:T72">
    <cfRule type="cellIs" dxfId="5" priority="5" stopIfTrue="1" operator="equal">
      <formula>"NO"</formula>
    </cfRule>
    <cfRule type="cellIs" dxfId="4" priority="6" stopIfTrue="1" operator="equal">
      <formula>"OK"</formula>
    </cfRule>
  </conditionalFormatting>
  <conditionalFormatting sqref="W8:X72">
    <cfRule type="cellIs" dxfId="3" priority="3" stopIfTrue="1" operator="equal">
      <formula>"NO"</formula>
    </cfRule>
    <cfRule type="cellIs" dxfId="2" priority="4" stopIfTrue="1" operator="equal">
      <formula>"OK"</formula>
    </cfRule>
  </conditionalFormatting>
  <conditionalFormatting sqref="AA8:AB72">
    <cfRule type="cellIs" dxfId="1" priority="1" stopIfTrue="1" operator="equal">
      <formula>"FULL"</formula>
    </cfRule>
    <cfRule type="cellIs" dxfId="0" priority="2" stopIfTrue="1" operator="equal">
      <formula>"PARTIAL"</formula>
    </cfRule>
  </conditionalFormatting>
  <pageMargins left="0.74803149606299213" right="0.74803149606299213" top="0.39370078740157483" bottom="0.39370078740157483" header="0.51181102362204722" footer="0.51181102362204722"/>
  <pageSetup scale="56"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16DDC-4C16-4116-A4A4-8FC9FEA51A38}">
  <dimension ref="B1:L82"/>
  <sheetViews>
    <sheetView topLeftCell="I7" workbookViewId="0">
      <selection activeCell="I7" sqref="I7"/>
    </sheetView>
  </sheetViews>
  <sheetFormatPr defaultColWidth="12.453125" defaultRowHeight="14"/>
  <cols>
    <col min="1" max="2" width="3.81640625" style="59" customWidth="1"/>
    <col min="3" max="3" width="37.7265625" style="59" bestFit="1" customWidth="1"/>
    <col min="4" max="4" width="6.54296875" style="59" bestFit="1" customWidth="1"/>
    <col min="5" max="5" width="5.54296875" style="59" bestFit="1" customWidth="1"/>
    <col min="6" max="6" width="5.81640625" style="59" bestFit="1" customWidth="1"/>
    <col min="7" max="7" width="12.1796875" style="59" bestFit="1" customWidth="1"/>
    <col min="8" max="8" width="9.81640625" style="59" bestFit="1" customWidth="1"/>
    <col min="9" max="9" width="73.1796875" style="59" customWidth="1"/>
    <col min="10" max="10" width="5.453125" style="61" bestFit="1" customWidth="1"/>
    <col min="11" max="12" width="20.1796875" style="144" customWidth="1"/>
    <col min="13" max="256" width="12.453125" style="59"/>
    <col min="257" max="258" width="3.81640625" style="59" customWidth="1"/>
    <col min="259" max="259" width="37.7265625" style="59" bestFit="1" customWidth="1"/>
    <col min="260" max="260" width="6.54296875" style="59" bestFit="1" customWidth="1"/>
    <col min="261" max="261" width="5.54296875" style="59" bestFit="1" customWidth="1"/>
    <col min="262" max="262" width="5.81640625" style="59" bestFit="1" customWidth="1"/>
    <col min="263" max="263" width="12.1796875" style="59" bestFit="1" customWidth="1"/>
    <col min="264" max="264" width="9.81640625" style="59" bestFit="1" customWidth="1"/>
    <col min="265" max="265" width="73.1796875" style="59" customWidth="1"/>
    <col min="266" max="266" width="5.453125" style="59" bestFit="1" customWidth="1"/>
    <col min="267" max="268" width="20.1796875" style="59" customWidth="1"/>
    <col min="269" max="512" width="12.453125" style="59"/>
    <col min="513" max="514" width="3.81640625" style="59" customWidth="1"/>
    <col min="515" max="515" width="37.7265625" style="59" bestFit="1" customWidth="1"/>
    <col min="516" max="516" width="6.54296875" style="59" bestFit="1" customWidth="1"/>
    <col min="517" max="517" width="5.54296875" style="59" bestFit="1" customWidth="1"/>
    <col min="518" max="518" width="5.81640625" style="59" bestFit="1" customWidth="1"/>
    <col min="519" max="519" width="12.1796875" style="59" bestFit="1" customWidth="1"/>
    <col min="520" max="520" width="9.81640625" style="59" bestFit="1" customWidth="1"/>
    <col min="521" max="521" width="73.1796875" style="59" customWidth="1"/>
    <col min="522" max="522" width="5.453125" style="59" bestFit="1" customWidth="1"/>
    <col min="523" max="524" width="20.1796875" style="59" customWidth="1"/>
    <col min="525" max="768" width="12.453125" style="59"/>
    <col min="769" max="770" width="3.81640625" style="59" customWidth="1"/>
    <col min="771" max="771" width="37.7265625" style="59" bestFit="1" customWidth="1"/>
    <col min="772" max="772" width="6.54296875" style="59" bestFit="1" customWidth="1"/>
    <col min="773" max="773" width="5.54296875" style="59" bestFit="1" customWidth="1"/>
    <col min="774" max="774" width="5.81640625" style="59" bestFit="1" customWidth="1"/>
    <col min="775" max="775" width="12.1796875" style="59" bestFit="1" customWidth="1"/>
    <col min="776" max="776" width="9.81640625" style="59" bestFit="1" customWidth="1"/>
    <col min="777" max="777" width="73.1796875" style="59" customWidth="1"/>
    <col min="778" max="778" width="5.453125" style="59" bestFit="1" customWidth="1"/>
    <col min="779" max="780" width="20.1796875" style="59" customWidth="1"/>
    <col min="781" max="1024" width="12.453125" style="59"/>
    <col min="1025" max="1026" width="3.81640625" style="59" customWidth="1"/>
    <col min="1027" max="1027" width="37.7265625" style="59" bestFit="1" customWidth="1"/>
    <col min="1028" max="1028" width="6.54296875" style="59" bestFit="1" customWidth="1"/>
    <col min="1029" max="1029" width="5.54296875" style="59" bestFit="1" customWidth="1"/>
    <col min="1030" max="1030" width="5.81640625" style="59" bestFit="1" customWidth="1"/>
    <col min="1031" max="1031" width="12.1796875" style="59" bestFit="1" customWidth="1"/>
    <col min="1032" max="1032" width="9.81640625" style="59" bestFit="1" customWidth="1"/>
    <col min="1033" max="1033" width="73.1796875" style="59" customWidth="1"/>
    <col min="1034" max="1034" width="5.453125" style="59" bestFit="1" customWidth="1"/>
    <col min="1035" max="1036" width="20.1796875" style="59" customWidth="1"/>
    <col min="1037" max="1280" width="12.453125" style="59"/>
    <col min="1281" max="1282" width="3.81640625" style="59" customWidth="1"/>
    <col min="1283" max="1283" width="37.7265625" style="59" bestFit="1" customWidth="1"/>
    <col min="1284" max="1284" width="6.54296875" style="59" bestFit="1" customWidth="1"/>
    <col min="1285" max="1285" width="5.54296875" style="59" bestFit="1" customWidth="1"/>
    <col min="1286" max="1286" width="5.81640625" style="59" bestFit="1" customWidth="1"/>
    <col min="1287" max="1287" width="12.1796875" style="59" bestFit="1" customWidth="1"/>
    <col min="1288" max="1288" width="9.81640625" style="59" bestFit="1" customWidth="1"/>
    <col min="1289" max="1289" width="73.1796875" style="59" customWidth="1"/>
    <col min="1290" max="1290" width="5.453125" style="59" bestFit="1" customWidth="1"/>
    <col min="1291" max="1292" width="20.1796875" style="59" customWidth="1"/>
    <col min="1293" max="1536" width="12.453125" style="59"/>
    <col min="1537" max="1538" width="3.81640625" style="59" customWidth="1"/>
    <col min="1539" max="1539" width="37.7265625" style="59" bestFit="1" customWidth="1"/>
    <col min="1540" max="1540" width="6.54296875" style="59" bestFit="1" customWidth="1"/>
    <col min="1541" max="1541" width="5.54296875" style="59" bestFit="1" customWidth="1"/>
    <col min="1542" max="1542" width="5.81640625" style="59" bestFit="1" customWidth="1"/>
    <col min="1543" max="1543" width="12.1796875" style="59" bestFit="1" customWidth="1"/>
    <col min="1544" max="1544" width="9.81640625" style="59" bestFit="1" customWidth="1"/>
    <col min="1545" max="1545" width="73.1796875" style="59" customWidth="1"/>
    <col min="1546" max="1546" width="5.453125" style="59" bestFit="1" customWidth="1"/>
    <col min="1547" max="1548" width="20.1796875" style="59" customWidth="1"/>
    <col min="1549" max="1792" width="12.453125" style="59"/>
    <col min="1793" max="1794" width="3.81640625" style="59" customWidth="1"/>
    <col min="1795" max="1795" width="37.7265625" style="59" bestFit="1" customWidth="1"/>
    <col min="1796" max="1796" width="6.54296875" style="59" bestFit="1" customWidth="1"/>
    <col min="1797" max="1797" width="5.54296875" style="59" bestFit="1" customWidth="1"/>
    <col min="1798" max="1798" width="5.81640625" style="59" bestFit="1" customWidth="1"/>
    <col min="1799" max="1799" width="12.1796875" style="59" bestFit="1" customWidth="1"/>
    <col min="1800" max="1800" width="9.81640625" style="59" bestFit="1" customWidth="1"/>
    <col min="1801" max="1801" width="73.1796875" style="59" customWidth="1"/>
    <col min="1802" max="1802" width="5.453125" style="59" bestFit="1" customWidth="1"/>
    <col min="1803" max="1804" width="20.1796875" style="59" customWidth="1"/>
    <col min="1805" max="2048" width="12.453125" style="59"/>
    <col min="2049" max="2050" width="3.81640625" style="59" customWidth="1"/>
    <col min="2051" max="2051" width="37.7265625" style="59" bestFit="1" customWidth="1"/>
    <col min="2052" max="2052" width="6.54296875" style="59" bestFit="1" customWidth="1"/>
    <col min="2053" max="2053" width="5.54296875" style="59" bestFit="1" customWidth="1"/>
    <col min="2054" max="2054" width="5.81640625" style="59" bestFit="1" customWidth="1"/>
    <col min="2055" max="2055" width="12.1796875" style="59" bestFit="1" customWidth="1"/>
    <col min="2056" max="2056" width="9.81640625" style="59" bestFit="1" customWidth="1"/>
    <col min="2057" max="2057" width="73.1796875" style="59" customWidth="1"/>
    <col min="2058" max="2058" width="5.453125" style="59" bestFit="1" customWidth="1"/>
    <col min="2059" max="2060" width="20.1796875" style="59" customWidth="1"/>
    <col min="2061" max="2304" width="12.453125" style="59"/>
    <col min="2305" max="2306" width="3.81640625" style="59" customWidth="1"/>
    <col min="2307" max="2307" width="37.7265625" style="59" bestFit="1" customWidth="1"/>
    <col min="2308" max="2308" width="6.54296875" style="59" bestFit="1" customWidth="1"/>
    <col min="2309" max="2309" width="5.54296875" style="59" bestFit="1" customWidth="1"/>
    <col min="2310" max="2310" width="5.81640625" style="59" bestFit="1" customWidth="1"/>
    <col min="2311" max="2311" width="12.1796875" style="59" bestFit="1" customWidth="1"/>
    <col min="2312" max="2312" width="9.81640625" style="59" bestFit="1" customWidth="1"/>
    <col min="2313" max="2313" width="73.1796875" style="59" customWidth="1"/>
    <col min="2314" max="2314" width="5.453125" style="59" bestFit="1" customWidth="1"/>
    <col min="2315" max="2316" width="20.1796875" style="59" customWidth="1"/>
    <col min="2317" max="2560" width="12.453125" style="59"/>
    <col min="2561" max="2562" width="3.81640625" style="59" customWidth="1"/>
    <col min="2563" max="2563" width="37.7265625" style="59" bestFit="1" customWidth="1"/>
    <col min="2564" max="2564" width="6.54296875" style="59" bestFit="1" customWidth="1"/>
    <col min="2565" max="2565" width="5.54296875" style="59" bestFit="1" customWidth="1"/>
    <col min="2566" max="2566" width="5.81640625" style="59" bestFit="1" customWidth="1"/>
    <col min="2567" max="2567" width="12.1796875" style="59" bestFit="1" customWidth="1"/>
    <col min="2568" max="2568" width="9.81640625" style="59" bestFit="1" customWidth="1"/>
    <col min="2569" max="2569" width="73.1796875" style="59" customWidth="1"/>
    <col min="2570" max="2570" width="5.453125" style="59" bestFit="1" customWidth="1"/>
    <col min="2571" max="2572" width="20.1796875" style="59" customWidth="1"/>
    <col min="2573" max="2816" width="12.453125" style="59"/>
    <col min="2817" max="2818" width="3.81640625" style="59" customWidth="1"/>
    <col min="2819" max="2819" width="37.7265625" style="59" bestFit="1" customWidth="1"/>
    <col min="2820" max="2820" width="6.54296875" style="59" bestFit="1" customWidth="1"/>
    <col min="2821" max="2821" width="5.54296875" style="59" bestFit="1" customWidth="1"/>
    <col min="2822" max="2822" width="5.81640625" style="59" bestFit="1" customWidth="1"/>
    <col min="2823" max="2823" width="12.1796875" style="59" bestFit="1" customWidth="1"/>
    <col min="2824" max="2824" width="9.81640625" style="59" bestFit="1" customWidth="1"/>
    <col min="2825" max="2825" width="73.1796875" style="59" customWidth="1"/>
    <col min="2826" max="2826" width="5.453125" style="59" bestFit="1" customWidth="1"/>
    <col min="2827" max="2828" width="20.1796875" style="59" customWidth="1"/>
    <col min="2829" max="3072" width="12.453125" style="59"/>
    <col min="3073" max="3074" width="3.81640625" style="59" customWidth="1"/>
    <col min="3075" max="3075" width="37.7265625" style="59" bestFit="1" customWidth="1"/>
    <col min="3076" max="3076" width="6.54296875" style="59" bestFit="1" customWidth="1"/>
    <col min="3077" max="3077" width="5.54296875" style="59" bestFit="1" customWidth="1"/>
    <col min="3078" max="3078" width="5.81640625" style="59" bestFit="1" customWidth="1"/>
    <col min="3079" max="3079" width="12.1796875" style="59" bestFit="1" customWidth="1"/>
    <col min="3080" max="3080" width="9.81640625" style="59" bestFit="1" customWidth="1"/>
    <col min="3081" max="3081" width="73.1796875" style="59" customWidth="1"/>
    <col min="3082" max="3082" width="5.453125" style="59" bestFit="1" customWidth="1"/>
    <col min="3083" max="3084" width="20.1796875" style="59" customWidth="1"/>
    <col min="3085" max="3328" width="12.453125" style="59"/>
    <col min="3329" max="3330" width="3.81640625" style="59" customWidth="1"/>
    <col min="3331" max="3331" width="37.7265625" style="59" bestFit="1" customWidth="1"/>
    <col min="3332" max="3332" width="6.54296875" style="59" bestFit="1" customWidth="1"/>
    <col min="3333" max="3333" width="5.54296875" style="59" bestFit="1" customWidth="1"/>
    <col min="3334" max="3334" width="5.81640625" style="59" bestFit="1" customWidth="1"/>
    <col min="3335" max="3335" width="12.1796875" style="59" bestFit="1" customWidth="1"/>
    <col min="3336" max="3336" width="9.81640625" style="59" bestFit="1" customWidth="1"/>
    <col min="3337" max="3337" width="73.1796875" style="59" customWidth="1"/>
    <col min="3338" max="3338" width="5.453125" style="59" bestFit="1" customWidth="1"/>
    <col min="3339" max="3340" width="20.1796875" style="59" customWidth="1"/>
    <col min="3341" max="3584" width="12.453125" style="59"/>
    <col min="3585" max="3586" width="3.81640625" style="59" customWidth="1"/>
    <col min="3587" max="3587" width="37.7265625" style="59" bestFit="1" customWidth="1"/>
    <col min="3588" max="3588" width="6.54296875" style="59" bestFit="1" customWidth="1"/>
    <col min="3589" max="3589" width="5.54296875" style="59" bestFit="1" customWidth="1"/>
    <col min="3590" max="3590" width="5.81640625" style="59" bestFit="1" customWidth="1"/>
    <col min="3591" max="3591" width="12.1796875" style="59" bestFit="1" customWidth="1"/>
    <col min="3592" max="3592" width="9.81640625" style="59" bestFit="1" customWidth="1"/>
    <col min="3593" max="3593" width="73.1796875" style="59" customWidth="1"/>
    <col min="3594" max="3594" width="5.453125" style="59" bestFit="1" customWidth="1"/>
    <col min="3595" max="3596" width="20.1796875" style="59" customWidth="1"/>
    <col min="3597" max="3840" width="12.453125" style="59"/>
    <col min="3841" max="3842" width="3.81640625" style="59" customWidth="1"/>
    <col min="3843" max="3843" width="37.7265625" style="59" bestFit="1" customWidth="1"/>
    <col min="3844" max="3844" width="6.54296875" style="59" bestFit="1" customWidth="1"/>
    <col min="3845" max="3845" width="5.54296875" style="59" bestFit="1" customWidth="1"/>
    <col min="3846" max="3846" width="5.81640625" style="59" bestFit="1" customWidth="1"/>
    <col min="3847" max="3847" width="12.1796875" style="59" bestFit="1" customWidth="1"/>
    <col min="3848" max="3848" width="9.81640625" style="59" bestFit="1" customWidth="1"/>
    <col min="3849" max="3849" width="73.1796875" style="59" customWidth="1"/>
    <col min="3850" max="3850" width="5.453125" style="59" bestFit="1" customWidth="1"/>
    <col min="3851" max="3852" width="20.1796875" style="59" customWidth="1"/>
    <col min="3853" max="4096" width="12.453125" style="59"/>
    <col min="4097" max="4098" width="3.81640625" style="59" customWidth="1"/>
    <col min="4099" max="4099" width="37.7265625" style="59" bestFit="1" customWidth="1"/>
    <col min="4100" max="4100" width="6.54296875" style="59" bestFit="1" customWidth="1"/>
    <col min="4101" max="4101" width="5.54296875" style="59" bestFit="1" customWidth="1"/>
    <col min="4102" max="4102" width="5.81640625" style="59" bestFit="1" customWidth="1"/>
    <col min="4103" max="4103" width="12.1796875" style="59" bestFit="1" customWidth="1"/>
    <col min="4104" max="4104" width="9.81640625" style="59" bestFit="1" customWidth="1"/>
    <col min="4105" max="4105" width="73.1796875" style="59" customWidth="1"/>
    <col min="4106" max="4106" width="5.453125" style="59" bestFit="1" customWidth="1"/>
    <col min="4107" max="4108" width="20.1796875" style="59" customWidth="1"/>
    <col min="4109" max="4352" width="12.453125" style="59"/>
    <col min="4353" max="4354" width="3.81640625" style="59" customWidth="1"/>
    <col min="4355" max="4355" width="37.7265625" style="59" bestFit="1" customWidth="1"/>
    <col min="4356" max="4356" width="6.54296875" style="59" bestFit="1" customWidth="1"/>
    <col min="4357" max="4357" width="5.54296875" style="59" bestFit="1" customWidth="1"/>
    <col min="4358" max="4358" width="5.81640625" style="59" bestFit="1" customWidth="1"/>
    <col min="4359" max="4359" width="12.1796875" style="59" bestFit="1" customWidth="1"/>
    <col min="4360" max="4360" width="9.81640625" style="59" bestFit="1" customWidth="1"/>
    <col min="4361" max="4361" width="73.1796875" style="59" customWidth="1"/>
    <col min="4362" max="4362" width="5.453125" style="59" bestFit="1" customWidth="1"/>
    <col min="4363" max="4364" width="20.1796875" style="59" customWidth="1"/>
    <col min="4365" max="4608" width="12.453125" style="59"/>
    <col min="4609" max="4610" width="3.81640625" style="59" customWidth="1"/>
    <col min="4611" max="4611" width="37.7265625" style="59" bestFit="1" customWidth="1"/>
    <col min="4612" max="4612" width="6.54296875" style="59" bestFit="1" customWidth="1"/>
    <col min="4613" max="4613" width="5.54296875" style="59" bestFit="1" customWidth="1"/>
    <col min="4614" max="4614" width="5.81640625" style="59" bestFit="1" customWidth="1"/>
    <col min="4615" max="4615" width="12.1796875" style="59" bestFit="1" customWidth="1"/>
    <col min="4616" max="4616" width="9.81640625" style="59" bestFit="1" customWidth="1"/>
    <col min="4617" max="4617" width="73.1796875" style="59" customWidth="1"/>
    <col min="4618" max="4618" width="5.453125" style="59" bestFit="1" customWidth="1"/>
    <col min="4619" max="4620" width="20.1796875" style="59" customWidth="1"/>
    <col min="4621" max="4864" width="12.453125" style="59"/>
    <col min="4865" max="4866" width="3.81640625" style="59" customWidth="1"/>
    <col min="4867" max="4867" width="37.7265625" style="59" bestFit="1" customWidth="1"/>
    <col min="4868" max="4868" width="6.54296875" style="59" bestFit="1" customWidth="1"/>
    <col min="4869" max="4869" width="5.54296875" style="59" bestFit="1" customWidth="1"/>
    <col min="4870" max="4870" width="5.81640625" style="59" bestFit="1" customWidth="1"/>
    <col min="4871" max="4871" width="12.1796875" style="59" bestFit="1" customWidth="1"/>
    <col min="4872" max="4872" width="9.81640625" style="59" bestFit="1" customWidth="1"/>
    <col min="4873" max="4873" width="73.1796875" style="59" customWidth="1"/>
    <col min="4874" max="4874" width="5.453125" style="59" bestFit="1" customWidth="1"/>
    <col min="4875" max="4876" width="20.1796875" style="59" customWidth="1"/>
    <col min="4877" max="5120" width="12.453125" style="59"/>
    <col min="5121" max="5122" width="3.81640625" style="59" customWidth="1"/>
    <col min="5123" max="5123" width="37.7265625" style="59" bestFit="1" customWidth="1"/>
    <col min="5124" max="5124" width="6.54296875" style="59" bestFit="1" customWidth="1"/>
    <col min="5125" max="5125" width="5.54296875" style="59" bestFit="1" customWidth="1"/>
    <col min="5126" max="5126" width="5.81640625" style="59" bestFit="1" customWidth="1"/>
    <col min="5127" max="5127" width="12.1796875" style="59" bestFit="1" customWidth="1"/>
    <col min="5128" max="5128" width="9.81640625" style="59" bestFit="1" customWidth="1"/>
    <col min="5129" max="5129" width="73.1796875" style="59" customWidth="1"/>
    <col min="5130" max="5130" width="5.453125" style="59" bestFit="1" customWidth="1"/>
    <col min="5131" max="5132" width="20.1796875" style="59" customWidth="1"/>
    <col min="5133" max="5376" width="12.453125" style="59"/>
    <col min="5377" max="5378" width="3.81640625" style="59" customWidth="1"/>
    <col min="5379" max="5379" width="37.7265625" style="59" bestFit="1" customWidth="1"/>
    <col min="5380" max="5380" width="6.54296875" style="59" bestFit="1" customWidth="1"/>
    <col min="5381" max="5381" width="5.54296875" style="59" bestFit="1" customWidth="1"/>
    <col min="5382" max="5382" width="5.81640625" style="59" bestFit="1" customWidth="1"/>
    <col min="5383" max="5383" width="12.1796875" style="59" bestFit="1" customWidth="1"/>
    <col min="5384" max="5384" width="9.81640625" style="59" bestFit="1" customWidth="1"/>
    <col min="5385" max="5385" width="73.1796875" style="59" customWidth="1"/>
    <col min="5386" max="5386" width="5.453125" style="59" bestFit="1" customWidth="1"/>
    <col min="5387" max="5388" width="20.1796875" style="59" customWidth="1"/>
    <col min="5389" max="5632" width="12.453125" style="59"/>
    <col min="5633" max="5634" width="3.81640625" style="59" customWidth="1"/>
    <col min="5635" max="5635" width="37.7265625" style="59" bestFit="1" customWidth="1"/>
    <col min="5636" max="5636" width="6.54296875" style="59" bestFit="1" customWidth="1"/>
    <col min="5637" max="5637" width="5.54296875" style="59" bestFit="1" customWidth="1"/>
    <col min="5638" max="5638" width="5.81640625" style="59" bestFit="1" customWidth="1"/>
    <col min="5639" max="5639" width="12.1796875" style="59" bestFit="1" customWidth="1"/>
    <col min="5640" max="5640" width="9.81640625" style="59" bestFit="1" customWidth="1"/>
    <col min="5641" max="5641" width="73.1796875" style="59" customWidth="1"/>
    <col min="5642" max="5642" width="5.453125" style="59" bestFit="1" customWidth="1"/>
    <col min="5643" max="5644" width="20.1796875" style="59" customWidth="1"/>
    <col min="5645" max="5888" width="12.453125" style="59"/>
    <col min="5889" max="5890" width="3.81640625" style="59" customWidth="1"/>
    <col min="5891" max="5891" width="37.7265625" style="59" bestFit="1" customWidth="1"/>
    <col min="5892" max="5892" width="6.54296875" style="59" bestFit="1" customWidth="1"/>
    <col min="5893" max="5893" width="5.54296875" style="59" bestFit="1" customWidth="1"/>
    <col min="5894" max="5894" width="5.81640625" style="59" bestFit="1" customWidth="1"/>
    <col min="5895" max="5895" width="12.1796875" style="59" bestFit="1" customWidth="1"/>
    <col min="5896" max="5896" width="9.81640625" style="59" bestFit="1" customWidth="1"/>
    <col min="5897" max="5897" width="73.1796875" style="59" customWidth="1"/>
    <col min="5898" max="5898" width="5.453125" style="59" bestFit="1" customWidth="1"/>
    <col min="5899" max="5900" width="20.1796875" style="59" customWidth="1"/>
    <col min="5901" max="6144" width="12.453125" style="59"/>
    <col min="6145" max="6146" width="3.81640625" style="59" customWidth="1"/>
    <col min="6147" max="6147" width="37.7265625" style="59" bestFit="1" customWidth="1"/>
    <col min="6148" max="6148" width="6.54296875" style="59" bestFit="1" customWidth="1"/>
    <col min="6149" max="6149" width="5.54296875" style="59" bestFit="1" customWidth="1"/>
    <col min="6150" max="6150" width="5.81640625" style="59" bestFit="1" customWidth="1"/>
    <col min="6151" max="6151" width="12.1796875" style="59" bestFit="1" customWidth="1"/>
    <col min="6152" max="6152" width="9.81640625" style="59" bestFit="1" customWidth="1"/>
    <col min="6153" max="6153" width="73.1796875" style="59" customWidth="1"/>
    <col min="6154" max="6154" width="5.453125" style="59" bestFit="1" customWidth="1"/>
    <col min="6155" max="6156" width="20.1796875" style="59" customWidth="1"/>
    <col min="6157" max="6400" width="12.453125" style="59"/>
    <col min="6401" max="6402" width="3.81640625" style="59" customWidth="1"/>
    <col min="6403" max="6403" width="37.7265625" style="59" bestFit="1" customWidth="1"/>
    <col min="6404" max="6404" width="6.54296875" style="59" bestFit="1" customWidth="1"/>
    <col min="6405" max="6405" width="5.54296875" style="59" bestFit="1" customWidth="1"/>
    <col min="6406" max="6406" width="5.81640625" style="59" bestFit="1" customWidth="1"/>
    <col min="6407" max="6407" width="12.1796875" style="59" bestFit="1" customWidth="1"/>
    <col min="6408" max="6408" width="9.81640625" style="59" bestFit="1" customWidth="1"/>
    <col min="6409" max="6409" width="73.1796875" style="59" customWidth="1"/>
    <col min="6410" max="6410" width="5.453125" style="59" bestFit="1" customWidth="1"/>
    <col min="6411" max="6412" width="20.1796875" style="59" customWidth="1"/>
    <col min="6413" max="6656" width="12.453125" style="59"/>
    <col min="6657" max="6658" width="3.81640625" style="59" customWidth="1"/>
    <col min="6659" max="6659" width="37.7265625" style="59" bestFit="1" customWidth="1"/>
    <col min="6660" max="6660" width="6.54296875" style="59" bestFit="1" customWidth="1"/>
    <col min="6661" max="6661" width="5.54296875" style="59" bestFit="1" customWidth="1"/>
    <col min="6662" max="6662" width="5.81640625" style="59" bestFit="1" customWidth="1"/>
    <col min="6663" max="6663" width="12.1796875" style="59" bestFit="1" customWidth="1"/>
    <col min="6664" max="6664" width="9.81640625" style="59" bestFit="1" customWidth="1"/>
    <col min="6665" max="6665" width="73.1796875" style="59" customWidth="1"/>
    <col min="6666" max="6666" width="5.453125" style="59" bestFit="1" customWidth="1"/>
    <col min="6667" max="6668" width="20.1796875" style="59" customWidth="1"/>
    <col min="6669" max="6912" width="12.453125" style="59"/>
    <col min="6913" max="6914" width="3.81640625" style="59" customWidth="1"/>
    <col min="6915" max="6915" width="37.7265625" style="59" bestFit="1" customWidth="1"/>
    <col min="6916" max="6916" width="6.54296875" style="59" bestFit="1" customWidth="1"/>
    <col min="6917" max="6917" width="5.54296875" style="59" bestFit="1" customWidth="1"/>
    <col min="6918" max="6918" width="5.81640625" style="59" bestFit="1" customWidth="1"/>
    <col min="6919" max="6919" width="12.1796875" style="59" bestFit="1" customWidth="1"/>
    <col min="6920" max="6920" width="9.81640625" style="59" bestFit="1" customWidth="1"/>
    <col min="6921" max="6921" width="73.1796875" style="59" customWidth="1"/>
    <col min="6922" max="6922" width="5.453125" style="59" bestFit="1" customWidth="1"/>
    <col min="6923" max="6924" width="20.1796875" style="59" customWidth="1"/>
    <col min="6925" max="7168" width="12.453125" style="59"/>
    <col min="7169" max="7170" width="3.81640625" style="59" customWidth="1"/>
    <col min="7171" max="7171" width="37.7265625" style="59" bestFit="1" customWidth="1"/>
    <col min="7172" max="7172" width="6.54296875" style="59" bestFit="1" customWidth="1"/>
    <col min="7173" max="7173" width="5.54296875" style="59" bestFit="1" customWidth="1"/>
    <col min="7174" max="7174" width="5.81640625" style="59" bestFit="1" customWidth="1"/>
    <col min="7175" max="7175" width="12.1796875" style="59" bestFit="1" customWidth="1"/>
    <col min="7176" max="7176" width="9.81640625" style="59" bestFit="1" customWidth="1"/>
    <col min="7177" max="7177" width="73.1796875" style="59" customWidth="1"/>
    <col min="7178" max="7178" width="5.453125" style="59" bestFit="1" customWidth="1"/>
    <col min="7179" max="7180" width="20.1796875" style="59" customWidth="1"/>
    <col min="7181" max="7424" width="12.453125" style="59"/>
    <col min="7425" max="7426" width="3.81640625" style="59" customWidth="1"/>
    <col min="7427" max="7427" width="37.7265625" style="59" bestFit="1" customWidth="1"/>
    <col min="7428" max="7428" width="6.54296875" style="59" bestFit="1" customWidth="1"/>
    <col min="7429" max="7429" width="5.54296875" style="59" bestFit="1" customWidth="1"/>
    <col min="7430" max="7430" width="5.81640625" style="59" bestFit="1" customWidth="1"/>
    <col min="7431" max="7431" width="12.1796875" style="59" bestFit="1" customWidth="1"/>
    <col min="7432" max="7432" width="9.81640625" style="59" bestFit="1" customWidth="1"/>
    <col min="7433" max="7433" width="73.1796875" style="59" customWidth="1"/>
    <col min="7434" max="7434" width="5.453125" style="59" bestFit="1" customWidth="1"/>
    <col min="7435" max="7436" width="20.1796875" style="59" customWidth="1"/>
    <col min="7437" max="7680" width="12.453125" style="59"/>
    <col min="7681" max="7682" width="3.81640625" style="59" customWidth="1"/>
    <col min="7683" max="7683" width="37.7265625" style="59" bestFit="1" customWidth="1"/>
    <col min="7684" max="7684" width="6.54296875" style="59" bestFit="1" customWidth="1"/>
    <col min="7685" max="7685" width="5.54296875" style="59" bestFit="1" customWidth="1"/>
    <col min="7686" max="7686" width="5.81640625" style="59" bestFit="1" customWidth="1"/>
    <col min="7687" max="7687" width="12.1796875" style="59" bestFit="1" customWidth="1"/>
    <col min="7688" max="7688" width="9.81640625" style="59" bestFit="1" customWidth="1"/>
    <col min="7689" max="7689" width="73.1796875" style="59" customWidth="1"/>
    <col min="7690" max="7690" width="5.453125" style="59" bestFit="1" customWidth="1"/>
    <col min="7691" max="7692" width="20.1796875" style="59" customWidth="1"/>
    <col min="7693" max="7936" width="12.453125" style="59"/>
    <col min="7937" max="7938" width="3.81640625" style="59" customWidth="1"/>
    <col min="7939" max="7939" width="37.7265625" style="59" bestFit="1" customWidth="1"/>
    <col min="7940" max="7940" width="6.54296875" style="59" bestFit="1" customWidth="1"/>
    <col min="7941" max="7941" width="5.54296875" style="59" bestFit="1" customWidth="1"/>
    <col min="7942" max="7942" width="5.81640625" style="59" bestFit="1" customWidth="1"/>
    <col min="7943" max="7943" width="12.1796875" style="59" bestFit="1" customWidth="1"/>
    <col min="7944" max="7944" width="9.81640625" style="59" bestFit="1" customWidth="1"/>
    <col min="7945" max="7945" width="73.1796875" style="59" customWidth="1"/>
    <col min="7946" max="7946" width="5.453125" style="59" bestFit="1" customWidth="1"/>
    <col min="7947" max="7948" width="20.1796875" style="59" customWidth="1"/>
    <col min="7949" max="8192" width="12.453125" style="59"/>
    <col min="8193" max="8194" width="3.81640625" style="59" customWidth="1"/>
    <col min="8195" max="8195" width="37.7265625" style="59" bestFit="1" customWidth="1"/>
    <col min="8196" max="8196" width="6.54296875" style="59" bestFit="1" customWidth="1"/>
    <col min="8197" max="8197" width="5.54296875" style="59" bestFit="1" customWidth="1"/>
    <col min="8198" max="8198" width="5.81640625" style="59" bestFit="1" customWidth="1"/>
    <col min="8199" max="8199" width="12.1796875" style="59" bestFit="1" customWidth="1"/>
    <col min="8200" max="8200" width="9.81640625" style="59" bestFit="1" customWidth="1"/>
    <col min="8201" max="8201" width="73.1796875" style="59" customWidth="1"/>
    <col min="8202" max="8202" width="5.453125" style="59" bestFit="1" customWidth="1"/>
    <col min="8203" max="8204" width="20.1796875" style="59" customWidth="1"/>
    <col min="8205" max="8448" width="12.453125" style="59"/>
    <col min="8449" max="8450" width="3.81640625" style="59" customWidth="1"/>
    <col min="8451" max="8451" width="37.7265625" style="59" bestFit="1" customWidth="1"/>
    <col min="8452" max="8452" width="6.54296875" style="59" bestFit="1" customWidth="1"/>
    <col min="8453" max="8453" width="5.54296875" style="59" bestFit="1" customWidth="1"/>
    <col min="8454" max="8454" width="5.81640625" style="59" bestFit="1" customWidth="1"/>
    <col min="8455" max="8455" width="12.1796875" style="59" bestFit="1" customWidth="1"/>
    <col min="8456" max="8456" width="9.81640625" style="59" bestFit="1" customWidth="1"/>
    <col min="8457" max="8457" width="73.1796875" style="59" customWidth="1"/>
    <col min="8458" max="8458" width="5.453125" style="59" bestFit="1" customWidth="1"/>
    <col min="8459" max="8460" width="20.1796875" style="59" customWidth="1"/>
    <col min="8461" max="8704" width="12.453125" style="59"/>
    <col min="8705" max="8706" width="3.81640625" style="59" customWidth="1"/>
    <col min="8707" max="8707" width="37.7265625" style="59" bestFit="1" customWidth="1"/>
    <col min="8708" max="8708" width="6.54296875" style="59" bestFit="1" customWidth="1"/>
    <col min="8709" max="8709" width="5.54296875" style="59" bestFit="1" customWidth="1"/>
    <col min="8710" max="8710" width="5.81640625" style="59" bestFit="1" customWidth="1"/>
    <col min="8711" max="8711" width="12.1796875" style="59" bestFit="1" customWidth="1"/>
    <col min="8712" max="8712" width="9.81640625" style="59" bestFit="1" customWidth="1"/>
    <col min="8713" max="8713" width="73.1796875" style="59" customWidth="1"/>
    <col min="8714" max="8714" width="5.453125" style="59" bestFit="1" customWidth="1"/>
    <col min="8715" max="8716" width="20.1796875" style="59" customWidth="1"/>
    <col min="8717" max="8960" width="12.453125" style="59"/>
    <col min="8961" max="8962" width="3.81640625" style="59" customWidth="1"/>
    <col min="8963" max="8963" width="37.7265625" style="59" bestFit="1" customWidth="1"/>
    <col min="8964" max="8964" width="6.54296875" style="59" bestFit="1" customWidth="1"/>
    <col min="8965" max="8965" width="5.54296875" style="59" bestFit="1" customWidth="1"/>
    <col min="8966" max="8966" width="5.81640625" style="59" bestFit="1" customWidth="1"/>
    <col min="8967" max="8967" width="12.1796875" style="59" bestFit="1" customWidth="1"/>
    <col min="8968" max="8968" width="9.81640625" style="59" bestFit="1" customWidth="1"/>
    <col min="8969" max="8969" width="73.1796875" style="59" customWidth="1"/>
    <col min="8970" max="8970" width="5.453125" style="59" bestFit="1" customWidth="1"/>
    <col min="8971" max="8972" width="20.1796875" style="59" customWidth="1"/>
    <col min="8973" max="9216" width="12.453125" style="59"/>
    <col min="9217" max="9218" width="3.81640625" style="59" customWidth="1"/>
    <col min="9219" max="9219" width="37.7265625" style="59" bestFit="1" customWidth="1"/>
    <col min="9220" max="9220" width="6.54296875" style="59" bestFit="1" customWidth="1"/>
    <col min="9221" max="9221" width="5.54296875" style="59" bestFit="1" customWidth="1"/>
    <col min="9222" max="9222" width="5.81640625" style="59" bestFit="1" customWidth="1"/>
    <col min="9223" max="9223" width="12.1796875" style="59" bestFit="1" customWidth="1"/>
    <col min="9224" max="9224" width="9.81640625" style="59" bestFit="1" customWidth="1"/>
    <col min="9225" max="9225" width="73.1796875" style="59" customWidth="1"/>
    <col min="9226" max="9226" width="5.453125" style="59" bestFit="1" customWidth="1"/>
    <col min="9227" max="9228" width="20.1796875" style="59" customWidth="1"/>
    <col min="9229" max="9472" width="12.453125" style="59"/>
    <col min="9473" max="9474" width="3.81640625" style="59" customWidth="1"/>
    <col min="9475" max="9475" width="37.7265625" style="59" bestFit="1" customWidth="1"/>
    <col min="9476" max="9476" width="6.54296875" style="59" bestFit="1" customWidth="1"/>
    <col min="9477" max="9477" width="5.54296875" style="59" bestFit="1" customWidth="1"/>
    <col min="9478" max="9478" width="5.81640625" style="59" bestFit="1" customWidth="1"/>
    <col min="9479" max="9479" width="12.1796875" style="59" bestFit="1" customWidth="1"/>
    <col min="9480" max="9480" width="9.81640625" style="59" bestFit="1" customWidth="1"/>
    <col min="9481" max="9481" width="73.1796875" style="59" customWidth="1"/>
    <col min="9482" max="9482" width="5.453125" style="59" bestFit="1" customWidth="1"/>
    <col min="9483" max="9484" width="20.1796875" style="59" customWidth="1"/>
    <col min="9485" max="9728" width="12.453125" style="59"/>
    <col min="9729" max="9730" width="3.81640625" style="59" customWidth="1"/>
    <col min="9731" max="9731" width="37.7265625" style="59" bestFit="1" customWidth="1"/>
    <col min="9732" max="9732" width="6.54296875" style="59" bestFit="1" customWidth="1"/>
    <col min="9733" max="9733" width="5.54296875" style="59" bestFit="1" customWidth="1"/>
    <col min="9734" max="9734" width="5.81640625" style="59" bestFit="1" customWidth="1"/>
    <col min="9735" max="9735" width="12.1796875" style="59" bestFit="1" customWidth="1"/>
    <col min="9736" max="9736" width="9.81640625" style="59" bestFit="1" customWidth="1"/>
    <col min="9737" max="9737" width="73.1796875" style="59" customWidth="1"/>
    <col min="9738" max="9738" width="5.453125" style="59" bestFit="1" customWidth="1"/>
    <col min="9739" max="9740" width="20.1796875" style="59" customWidth="1"/>
    <col min="9741" max="9984" width="12.453125" style="59"/>
    <col min="9985" max="9986" width="3.81640625" style="59" customWidth="1"/>
    <col min="9987" max="9987" width="37.7265625" style="59" bestFit="1" customWidth="1"/>
    <col min="9988" max="9988" width="6.54296875" style="59" bestFit="1" customWidth="1"/>
    <col min="9989" max="9989" width="5.54296875" style="59" bestFit="1" customWidth="1"/>
    <col min="9990" max="9990" width="5.81640625" style="59" bestFit="1" customWidth="1"/>
    <col min="9991" max="9991" width="12.1796875" style="59" bestFit="1" customWidth="1"/>
    <col min="9992" max="9992" width="9.81640625" style="59" bestFit="1" customWidth="1"/>
    <col min="9993" max="9993" width="73.1796875" style="59" customWidth="1"/>
    <col min="9994" max="9994" width="5.453125" style="59" bestFit="1" customWidth="1"/>
    <col min="9995" max="9996" width="20.1796875" style="59" customWidth="1"/>
    <col min="9997" max="10240" width="12.453125" style="59"/>
    <col min="10241" max="10242" width="3.81640625" style="59" customWidth="1"/>
    <col min="10243" max="10243" width="37.7265625" style="59" bestFit="1" customWidth="1"/>
    <col min="10244" max="10244" width="6.54296875" style="59" bestFit="1" customWidth="1"/>
    <col min="10245" max="10245" width="5.54296875" style="59" bestFit="1" customWidth="1"/>
    <col min="10246" max="10246" width="5.81640625" style="59" bestFit="1" customWidth="1"/>
    <col min="10247" max="10247" width="12.1796875" style="59" bestFit="1" customWidth="1"/>
    <col min="10248" max="10248" width="9.81640625" style="59" bestFit="1" customWidth="1"/>
    <col min="10249" max="10249" width="73.1796875" style="59" customWidth="1"/>
    <col min="10250" max="10250" width="5.453125" style="59" bestFit="1" customWidth="1"/>
    <col min="10251" max="10252" width="20.1796875" style="59" customWidth="1"/>
    <col min="10253" max="10496" width="12.453125" style="59"/>
    <col min="10497" max="10498" width="3.81640625" style="59" customWidth="1"/>
    <col min="10499" max="10499" width="37.7265625" style="59" bestFit="1" customWidth="1"/>
    <col min="10500" max="10500" width="6.54296875" style="59" bestFit="1" customWidth="1"/>
    <col min="10501" max="10501" width="5.54296875" style="59" bestFit="1" customWidth="1"/>
    <col min="10502" max="10502" width="5.81640625" style="59" bestFit="1" customWidth="1"/>
    <col min="10503" max="10503" width="12.1796875" style="59" bestFit="1" customWidth="1"/>
    <col min="10504" max="10504" width="9.81640625" style="59" bestFit="1" customWidth="1"/>
    <col min="10505" max="10505" width="73.1796875" style="59" customWidth="1"/>
    <col min="10506" max="10506" width="5.453125" style="59" bestFit="1" customWidth="1"/>
    <col min="10507" max="10508" width="20.1796875" style="59" customWidth="1"/>
    <col min="10509" max="10752" width="12.453125" style="59"/>
    <col min="10753" max="10754" width="3.81640625" style="59" customWidth="1"/>
    <col min="10755" max="10755" width="37.7265625" style="59" bestFit="1" customWidth="1"/>
    <col min="10756" max="10756" width="6.54296875" style="59" bestFit="1" customWidth="1"/>
    <col min="10757" max="10757" width="5.54296875" style="59" bestFit="1" customWidth="1"/>
    <col min="10758" max="10758" width="5.81640625" style="59" bestFit="1" customWidth="1"/>
    <col min="10759" max="10759" width="12.1796875" style="59" bestFit="1" customWidth="1"/>
    <col min="10760" max="10760" width="9.81640625" style="59" bestFit="1" customWidth="1"/>
    <col min="10761" max="10761" width="73.1796875" style="59" customWidth="1"/>
    <col min="10762" max="10762" width="5.453125" style="59" bestFit="1" customWidth="1"/>
    <col min="10763" max="10764" width="20.1796875" style="59" customWidth="1"/>
    <col min="10765" max="11008" width="12.453125" style="59"/>
    <col min="11009" max="11010" width="3.81640625" style="59" customWidth="1"/>
    <col min="11011" max="11011" width="37.7265625" style="59" bestFit="1" customWidth="1"/>
    <col min="11012" max="11012" width="6.54296875" style="59" bestFit="1" customWidth="1"/>
    <col min="11013" max="11013" width="5.54296875" style="59" bestFit="1" customWidth="1"/>
    <col min="11014" max="11014" width="5.81640625" style="59" bestFit="1" customWidth="1"/>
    <col min="11015" max="11015" width="12.1796875" style="59" bestFit="1" customWidth="1"/>
    <col min="11016" max="11016" width="9.81640625" style="59" bestFit="1" customWidth="1"/>
    <col min="11017" max="11017" width="73.1796875" style="59" customWidth="1"/>
    <col min="11018" max="11018" width="5.453125" style="59" bestFit="1" customWidth="1"/>
    <col min="11019" max="11020" width="20.1796875" style="59" customWidth="1"/>
    <col min="11021" max="11264" width="12.453125" style="59"/>
    <col min="11265" max="11266" width="3.81640625" style="59" customWidth="1"/>
    <col min="11267" max="11267" width="37.7265625" style="59" bestFit="1" customWidth="1"/>
    <col min="11268" max="11268" width="6.54296875" style="59" bestFit="1" customWidth="1"/>
    <col min="11269" max="11269" width="5.54296875" style="59" bestFit="1" customWidth="1"/>
    <col min="11270" max="11270" width="5.81640625" style="59" bestFit="1" customWidth="1"/>
    <col min="11271" max="11271" width="12.1796875" style="59" bestFit="1" customWidth="1"/>
    <col min="11272" max="11272" width="9.81640625" style="59" bestFit="1" customWidth="1"/>
    <col min="11273" max="11273" width="73.1796875" style="59" customWidth="1"/>
    <col min="11274" max="11274" width="5.453125" style="59" bestFit="1" customWidth="1"/>
    <col min="11275" max="11276" width="20.1796875" style="59" customWidth="1"/>
    <col min="11277" max="11520" width="12.453125" style="59"/>
    <col min="11521" max="11522" width="3.81640625" style="59" customWidth="1"/>
    <col min="11523" max="11523" width="37.7265625" style="59" bestFit="1" customWidth="1"/>
    <col min="11524" max="11524" width="6.54296875" style="59" bestFit="1" customWidth="1"/>
    <col min="11525" max="11525" width="5.54296875" style="59" bestFit="1" customWidth="1"/>
    <col min="11526" max="11526" width="5.81640625" style="59" bestFit="1" customWidth="1"/>
    <col min="11527" max="11527" width="12.1796875" style="59" bestFit="1" customWidth="1"/>
    <col min="11528" max="11528" width="9.81640625" style="59" bestFit="1" customWidth="1"/>
    <col min="11529" max="11529" width="73.1796875" style="59" customWidth="1"/>
    <col min="11530" max="11530" width="5.453125" style="59" bestFit="1" customWidth="1"/>
    <col min="11531" max="11532" width="20.1796875" style="59" customWidth="1"/>
    <col min="11533" max="11776" width="12.453125" style="59"/>
    <col min="11777" max="11778" width="3.81640625" style="59" customWidth="1"/>
    <col min="11779" max="11779" width="37.7265625" style="59" bestFit="1" customWidth="1"/>
    <col min="11780" max="11780" width="6.54296875" style="59" bestFit="1" customWidth="1"/>
    <col min="11781" max="11781" width="5.54296875" style="59" bestFit="1" customWidth="1"/>
    <col min="11782" max="11782" width="5.81640625" style="59" bestFit="1" customWidth="1"/>
    <col min="11783" max="11783" width="12.1796875" style="59" bestFit="1" customWidth="1"/>
    <col min="11784" max="11784" width="9.81640625" style="59" bestFit="1" customWidth="1"/>
    <col min="11785" max="11785" width="73.1796875" style="59" customWidth="1"/>
    <col min="11786" max="11786" width="5.453125" style="59" bestFit="1" customWidth="1"/>
    <col min="11787" max="11788" width="20.1796875" style="59" customWidth="1"/>
    <col min="11789" max="12032" width="12.453125" style="59"/>
    <col min="12033" max="12034" width="3.81640625" style="59" customWidth="1"/>
    <col min="12035" max="12035" width="37.7265625" style="59" bestFit="1" customWidth="1"/>
    <col min="12036" max="12036" width="6.54296875" style="59" bestFit="1" customWidth="1"/>
    <col min="12037" max="12037" width="5.54296875" style="59" bestFit="1" customWidth="1"/>
    <col min="12038" max="12038" width="5.81640625" style="59" bestFit="1" customWidth="1"/>
    <col min="12039" max="12039" width="12.1796875" style="59" bestFit="1" customWidth="1"/>
    <col min="12040" max="12040" width="9.81640625" style="59" bestFit="1" customWidth="1"/>
    <col min="12041" max="12041" width="73.1796875" style="59" customWidth="1"/>
    <col min="12042" max="12042" width="5.453125" style="59" bestFit="1" customWidth="1"/>
    <col min="12043" max="12044" width="20.1796875" style="59" customWidth="1"/>
    <col min="12045" max="12288" width="12.453125" style="59"/>
    <col min="12289" max="12290" width="3.81640625" style="59" customWidth="1"/>
    <col min="12291" max="12291" width="37.7265625" style="59" bestFit="1" customWidth="1"/>
    <col min="12292" max="12292" width="6.54296875" style="59" bestFit="1" customWidth="1"/>
    <col min="12293" max="12293" width="5.54296875" style="59" bestFit="1" customWidth="1"/>
    <col min="12294" max="12294" width="5.81640625" style="59" bestFit="1" customWidth="1"/>
    <col min="12295" max="12295" width="12.1796875" style="59" bestFit="1" customWidth="1"/>
    <col min="12296" max="12296" width="9.81640625" style="59" bestFit="1" customWidth="1"/>
    <col min="12297" max="12297" width="73.1796875" style="59" customWidth="1"/>
    <col min="12298" max="12298" width="5.453125" style="59" bestFit="1" customWidth="1"/>
    <col min="12299" max="12300" width="20.1796875" style="59" customWidth="1"/>
    <col min="12301" max="12544" width="12.453125" style="59"/>
    <col min="12545" max="12546" width="3.81640625" style="59" customWidth="1"/>
    <col min="12547" max="12547" width="37.7265625" style="59" bestFit="1" customWidth="1"/>
    <col min="12548" max="12548" width="6.54296875" style="59" bestFit="1" customWidth="1"/>
    <col min="12549" max="12549" width="5.54296875" style="59" bestFit="1" customWidth="1"/>
    <col min="12550" max="12550" width="5.81640625" style="59" bestFit="1" customWidth="1"/>
    <col min="12551" max="12551" width="12.1796875" style="59" bestFit="1" customWidth="1"/>
    <col min="12552" max="12552" width="9.81640625" style="59" bestFit="1" customWidth="1"/>
    <col min="12553" max="12553" width="73.1796875" style="59" customWidth="1"/>
    <col min="12554" max="12554" width="5.453125" style="59" bestFit="1" customWidth="1"/>
    <col min="12555" max="12556" width="20.1796875" style="59" customWidth="1"/>
    <col min="12557" max="12800" width="12.453125" style="59"/>
    <col min="12801" max="12802" width="3.81640625" style="59" customWidth="1"/>
    <col min="12803" max="12803" width="37.7265625" style="59" bestFit="1" customWidth="1"/>
    <col min="12804" max="12804" width="6.54296875" style="59" bestFit="1" customWidth="1"/>
    <col min="12805" max="12805" width="5.54296875" style="59" bestFit="1" customWidth="1"/>
    <col min="12806" max="12806" width="5.81640625" style="59" bestFit="1" customWidth="1"/>
    <col min="12807" max="12807" width="12.1796875" style="59" bestFit="1" customWidth="1"/>
    <col min="12808" max="12808" width="9.81640625" style="59" bestFit="1" customWidth="1"/>
    <col min="12809" max="12809" width="73.1796875" style="59" customWidth="1"/>
    <col min="12810" max="12810" width="5.453125" style="59" bestFit="1" customWidth="1"/>
    <col min="12811" max="12812" width="20.1796875" style="59" customWidth="1"/>
    <col min="12813" max="13056" width="12.453125" style="59"/>
    <col min="13057" max="13058" width="3.81640625" style="59" customWidth="1"/>
    <col min="13059" max="13059" width="37.7265625" style="59" bestFit="1" customWidth="1"/>
    <col min="13060" max="13060" width="6.54296875" style="59" bestFit="1" customWidth="1"/>
    <col min="13061" max="13061" width="5.54296875" style="59" bestFit="1" customWidth="1"/>
    <col min="13062" max="13062" width="5.81640625" style="59" bestFit="1" customWidth="1"/>
    <col min="13063" max="13063" width="12.1796875" style="59" bestFit="1" customWidth="1"/>
    <col min="13064" max="13064" width="9.81640625" style="59" bestFit="1" customWidth="1"/>
    <col min="13065" max="13065" width="73.1796875" style="59" customWidth="1"/>
    <col min="13066" max="13066" width="5.453125" style="59" bestFit="1" customWidth="1"/>
    <col min="13067" max="13068" width="20.1796875" style="59" customWidth="1"/>
    <col min="13069" max="13312" width="12.453125" style="59"/>
    <col min="13313" max="13314" width="3.81640625" style="59" customWidth="1"/>
    <col min="13315" max="13315" width="37.7265625" style="59" bestFit="1" customWidth="1"/>
    <col min="13316" max="13316" width="6.54296875" style="59" bestFit="1" customWidth="1"/>
    <col min="13317" max="13317" width="5.54296875" style="59" bestFit="1" customWidth="1"/>
    <col min="13318" max="13318" width="5.81640625" style="59" bestFit="1" customWidth="1"/>
    <col min="13319" max="13319" width="12.1796875" style="59" bestFit="1" customWidth="1"/>
    <col min="13320" max="13320" width="9.81640625" style="59" bestFit="1" customWidth="1"/>
    <col min="13321" max="13321" width="73.1796875" style="59" customWidth="1"/>
    <col min="13322" max="13322" width="5.453125" style="59" bestFit="1" customWidth="1"/>
    <col min="13323" max="13324" width="20.1796875" style="59" customWidth="1"/>
    <col min="13325" max="13568" width="12.453125" style="59"/>
    <col min="13569" max="13570" width="3.81640625" style="59" customWidth="1"/>
    <col min="13571" max="13571" width="37.7265625" style="59" bestFit="1" customWidth="1"/>
    <col min="13572" max="13572" width="6.54296875" style="59" bestFit="1" customWidth="1"/>
    <col min="13573" max="13573" width="5.54296875" style="59" bestFit="1" customWidth="1"/>
    <col min="13574" max="13574" width="5.81640625" style="59" bestFit="1" customWidth="1"/>
    <col min="13575" max="13575" width="12.1796875" style="59" bestFit="1" customWidth="1"/>
    <col min="13576" max="13576" width="9.81640625" style="59" bestFit="1" customWidth="1"/>
    <col min="13577" max="13577" width="73.1796875" style="59" customWidth="1"/>
    <col min="13578" max="13578" width="5.453125" style="59" bestFit="1" customWidth="1"/>
    <col min="13579" max="13580" width="20.1796875" style="59" customWidth="1"/>
    <col min="13581" max="13824" width="12.453125" style="59"/>
    <col min="13825" max="13826" width="3.81640625" style="59" customWidth="1"/>
    <col min="13827" max="13827" width="37.7265625" style="59" bestFit="1" customWidth="1"/>
    <col min="13828" max="13828" width="6.54296875" style="59" bestFit="1" customWidth="1"/>
    <col min="13829" max="13829" width="5.54296875" style="59" bestFit="1" customWidth="1"/>
    <col min="13830" max="13830" width="5.81640625" style="59" bestFit="1" customWidth="1"/>
    <col min="13831" max="13831" width="12.1796875" style="59" bestFit="1" customWidth="1"/>
    <col min="13832" max="13832" width="9.81640625" style="59" bestFit="1" customWidth="1"/>
    <col min="13833" max="13833" width="73.1796875" style="59" customWidth="1"/>
    <col min="13834" max="13834" width="5.453125" style="59" bestFit="1" customWidth="1"/>
    <col min="13835" max="13836" width="20.1796875" style="59" customWidth="1"/>
    <col min="13837" max="14080" width="12.453125" style="59"/>
    <col min="14081" max="14082" width="3.81640625" style="59" customWidth="1"/>
    <col min="14083" max="14083" width="37.7265625" style="59" bestFit="1" customWidth="1"/>
    <col min="14084" max="14084" width="6.54296875" style="59" bestFit="1" customWidth="1"/>
    <col min="14085" max="14085" width="5.54296875" style="59" bestFit="1" customWidth="1"/>
    <col min="14086" max="14086" width="5.81640625" style="59" bestFit="1" customWidth="1"/>
    <col min="14087" max="14087" width="12.1796875" style="59" bestFit="1" customWidth="1"/>
    <col min="14088" max="14088" width="9.81640625" style="59" bestFit="1" customWidth="1"/>
    <col min="14089" max="14089" width="73.1796875" style="59" customWidth="1"/>
    <col min="14090" max="14090" width="5.453125" style="59" bestFit="1" customWidth="1"/>
    <col min="14091" max="14092" width="20.1796875" style="59" customWidth="1"/>
    <col min="14093" max="14336" width="12.453125" style="59"/>
    <col min="14337" max="14338" width="3.81640625" style="59" customWidth="1"/>
    <col min="14339" max="14339" width="37.7265625" style="59" bestFit="1" customWidth="1"/>
    <col min="14340" max="14340" width="6.54296875" style="59" bestFit="1" customWidth="1"/>
    <col min="14341" max="14341" width="5.54296875" style="59" bestFit="1" customWidth="1"/>
    <col min="14342" max="14342" width="5.81640625" style="59" bestFit="1" customWidth="1"/>
    <col min="14343" max="14343" width="12.1796875" style="59" bestFit="1" customWidth="1"/>
    <col min="14344" max="14344" width="9.81640625" style="59" bestFit="1" customWidth="1"/>
    <col min="14345" max="14345" width="73.1796875" style="59" customWidth="1"/>
    <col min="14346" max="14346" width="5.453125" style="59" bestFit="1" customWidth="1"/>
    <col min="14347" max="14348" width="20.1796875" style="59" customWidth="1"/>
    <col min="14349" max="14592" width="12.453125" style="59"/>
    <col min="14593" max="14594" width="3.81640625" style="59" customWidth="1"/>
    <col min="14595" max="14595" width="37.7265625" style="59" bestFit="1" customWidth="1"/>
    <col min="14596" max="14596" width="6.54296875" style="59" bestFit="1" customWidth="1"/>
    <col min="14597" max="14597" width="5.54296875" style="59" bestFit="1" customWidth="1"/>
    <col min="14598" max="14598" width="5.81640625" style="59" bestFit="1" customWidth="1"/>
    <col min="14599" max="14599" width="12.1796875" style="59" bestFit="1" customWidth="1"/>
    <col min="14600" max="14600" width="9.81640625" style="59" bestFit="1" customWidth="1"/>
    <col min="14601" max="14601" width="73.1796875" style="59" customWidth="1"/>
    <col min="14602" max="14602" width="5.453125" style="59" bestFit="1" customWidth="1"/>
    <col min="14603" max="14604" width="20.1796875" style="59" customWidth="1"/>
    <col min="14605" max="14848" width="12.453125" style="59"/>
    <col min="14849" max="14850" width="3.81640625" style="59" customWidth="1"/>
    <col min="14851" max="14851" width="37.7265625" style="59" bestFit="1" customWidth="1"/>
    <col min="14852" max="14852" width="6.54296875" style="59" bestFit="1" customWidth="1"/>
    <col min="14853" max="14853" width="5.54296875" style="59" bestFit="1" customWidth="1"/>
    <col min="14854" max="14854" width="5.81640625" style="59" bestFit="1" customWidth="1"/>
    <col min="14855" max="14855" width="12.1796875" style="59" bestFit="1" customWidth="1"/>
    <col min="14856" max="14856" width="9.81640625" style="59" bestFit="1" customWidth="1"/>
    <col min="14857" max="14857" width="73.1796875" style="59" customWidth="1"/>
    <col min="14858" max="14858" width="5.453125" style="59" bestFit="1" customWidth="1"/>
    <col min="14859" max="14860" width="20.1796875" style="59" customWidth="1"/>
    <col min="14861" max="15104" width="12.453125" style="59"/>
    <col min="15105" max="15106" width="3.81640625" style="59" customWidth="1"/>
    <col min="15107" max="15107" width="37.7265625" style="59" bestFit="1" customWidth="1"/>
    <col min="15108" max="15108" width="6.54296875" style="59" bestFit="1" customWidth="1"/>
    <col min="15109" max="15109" width="5.54296875" style="59" bestFit="1" customWidth="1"/>
    <col min="15110" max="15110" width="5.81640625" style="59" bestFit="1" customWidth="1"/>
    <col min="15111" max="15111" width="12.1796875" style="59" bestFit="1" customWidth="1"/>
    <col min="15112" max="15112" width="9.81640625" style="59" bestFit="1" customWidth="1"/>
    <col min="15113" max="15113" width="73.1796875" style="59" customWidth="1"/>
    <col min="15114" max="15114" width="5.453125" style="59" bestFit="1" customWidth="1"/>
    <col min="15115" max="15116" width="20.1796875" style="59" customWidth="1"/>
    <col min="15117" max="15360" width="12.453125" style="59"/>
    <col min="15361" max="15362" width="3.81640625" style="59" customWidth="1"/>
    <col min="15363" max="15363" width="37.7265625" style="59" bestFit="1" customWidth="1"/>
    <col min="15364" max="15364" width="6.54296875" style="59" bestFit="1" customWidth="1"/>
    <col min="15365" max="15365" width="5.54296875" style="59" bestFit="1" customWidth="1"/>
    <col min="15366" max="15366" width="5.81640625" style="59" bestFit="1" customWidth="1"/>
    <col min="15367" max="15367" width="12.1796875" style="59" bestFit="1" customWidth="1"/>
    <col min="15368" max="15368" width="9.81640625" style="59" bestFit="1" customWidth="1"/>
    <col min="15369" max="15369" width="73.1796875" style="59" customWidth="1"/>
    <col min="15370" max="15370" width="5.453125" style="59" bestFit="1" customWidth="1"/>
    <col min="15371" max="15372" width="20.1796875" style="59" customWidth="1"/>
    <col min="15373" max="15616" width="12.453125" style="59"/>
    <col min="15617" max="15618" width="3.81640625" style="59" customWidth="1"/>
    <col min="15619" max="15619" width="37.7265625" style="59" bestFit="1" customWidth="1"/>
    <col min="15620" max="15620" width="6.54296875" style="59" bestFit="1" customWidth="1"/>
    <col min="15621" max="15621" width="5.54296875" style="59" bestFit="1" customWidth="1"/>
    <col min="15622" max="15622" width="5.81640625" style="59" bestFit="1" customWidth="1"/>
    <col min="15623" max="15623" width="12.1796875" style="59" bestFit="1" customWidth="1"/>
    <col min="15624" max="15624" width="9.81640625" style="59" bestFit="1" customWidth="1"/>
    <col min="15625" max="15625" width="73.1796875" style="59" customWidth="1"/>
    <col min="15626" max="15626" width="5.453125" style="59" bestFit="1" customWidth="1"/>
    <col min="15627" max="15628" width="20.1796875" style="59" customWidth="1"/>
    <col min="15629" max="15872" width="12.453125" style="59"/>
    <col min="15873" max="15874" width="3.81640625" style="59" customWidth="1"/>
    <col min="15875" max="15875" width="37.7265625" style="59" bestFit="1" customWidth="1"/>
    <col min="15876" max="15876" width="6.54296875" style="59" bestFit="1" customWidth="1"/>
    <col min="15877" max="15877" width="5.54296875" style="59" bestFit="1" customWidth="1"/>
    <col min="15878" max="15878" width="5.81640625" style="59" bestFit="1" customWidth="1"/>
    <col min="15879" max="15879" width="12.1796875" style="59" bestFit="1" customWidth="1"/>
    <col min="15880" max="15880" width="9.81640625" style="59" bestFit="1" customWidth="1"/>
    <col min="15881" max="15881" width="73.1796875" style="59" customWidth="1"/>
    <col min="15882" max="15882" width="5.453125" style="59" bestFit="1" customWidth="1"/>
    <col min="15883" max="15884" width="20.1796875" style="59" customWidth="1"/>
    <col min="15885" max="16128" width="12.453125" style="59"/>
    <col min="16129" max="16130" width="3.81640625" style="59" customWidth="1"/>
    <col min="16131" max="16131" width="37.7265625" style="59" bestFit="1" customWidth="1"/>
    <col min="16132" max="16132" width="6.54296875" style="59" bestFit="1" customWidth="1"/>
    <col min="16133" max="16133" width="5.54296875" style="59" bestFit="1" customWidth="1"/>
    <col min="16134" max="16134" width="5.81640625" style="59" bestFit="1" customWidth="1"/>
    <col min="16135" max="16135" width="12.1796875" style="59" bestFit="1" customWidth="1"/>
    <col min="16136" max="16136" width="9.81640625" style="59" bestFit="1" customWidth="1"/>
    <col min="16137" max="16137" width="73.1796875" style="59" customWidth="1"/>
    <col min="16138" max="16138" width="5.453125" style="59" bestFit="1" customWidth="1"/>
    <col min="16139" max="16140" width="20.1796875" style="59" customWidth="1"/>
    <col min="16141" max="16384" width="12.453125" style="59"/>
  </cols>
  <sheetData>
    <row r="1" spans="2:12">
      <c r="B1" s="57" t="s">
        <v>364</v>
      </c>
      <c r="C1" s="58"/>
      <c r="F1" s="60"/>
    </row>
    <row r="2" spans="2:12">
      <c r="B2" s="60" t="s">
        <v>1</v>
      </c>
    </row>
    <row r="3" spans="2:12">
      <c r="B3" s="60" t="s">
        <v>2</v>
      </c>
    </row>
    <row r="4" spans="2:12" ht="55.5" customHeight="1">
      <c r="B4" s="60"/>
      <c r="I4" s="62" t="s">
        <v>365</v>
      </c>
    </row>
    <row r="5" spans="2:12" ht="11.25" customHeight="1" thickBot="1"/>
    <row r="6" spans="2:12" ht="12.75" customHeight="1">
      <c r="B6" s="63"/>
      <c r="C6" s="64"/>
      <c r="D6" s="65" t="s">
        <v>4</v>
      </c>
      <c r="E6" s="65"/>
      <c r="F6" s="65"/>
      <c r="G6" s="66"/>
      <c r="H6" s="66"/>
      <c r="I6" s="66"/>
      <c r="J6" s="67"/>
      <c r="K6" s="205" t="s">
        <v>366</v>
      </c>
      <c r="L6" s="206"/>
    </row>
    <row r="7" spans="2:12" ht="14.5" thickBot="1">
      <c r="B7" s="68"/>
      <c r="C7" s="69"/>
      <c r="D7" s="70" t="s">
        <v>5</v>
      </c>
      <c r="E7" s="70" t="s">
        <v>6</v>
      </c>
      <c r="F7" s="70" t="s">
        <v>7</v>
      </c>
      <c r="G7" s="70" t="s">
        <v>8</v>
      </c>
      <c r="H7" s="70" t="s">
        <v>9</v>
      </c>
      <c r="I7" s="71" t="s">
        <v>10</v>
      </c>
      <c r="J7" s="145" t="s">
        <v>11</v>
      </c>
      <c r="K7" s="207"/>
      <c r="L7" s="208"/>
    </row>
    <row r="8" spans="2:12" ht="35">
      <c r="B8" s="73">
        <v>1</v>
      </c>
      <c r="C8" s="74" t="s">
        <v>12</v>
      </c>
      <c r="D8" s="75">
        <v>1</v>
      </c>
      <c r="E8" s="75">
        <f>+D8+F8-1</f>
        <v>4</v>
      </c>
      <c r="F8" s="75">
        <v>4</v>
      </c>
      <c r="G8" s="76" t="s">
        <v>13</v>
      </c>
      <c r="H8" s="75" t="s">
        <v>14</v>
      </c>
      <c r="I8" s="77" t="s">
        <v>15</v>
      </c>
      <c r="J8" s="146" t="s">
        <v>16</v>
      </c>
      <c r="K8" s="147" t="s">
        <v>367</v>
      </c>
      <c r="L8" s="147" t="s">
        <v>368</v>
      </c>
    </row>
    <row r="9" spans="2:12">
      <c r="B9" s="79">
        <v>2</v>
      </c>
      <c r="C9" s="80" t="s">
        <v>17</v>
      </c>
      <c r="D9" s="81">
        <f>+E8+1</f>
        <v>5</v>
      </c>
      <c r="E9" s="81">
        <f>+D9+F9-1</f>
        <v>8</v>
      </c>
      <c r="F9" s="81">
        <v>4</v>
      </c>
      <c r="G9" s="82" t="s">
        <v>13</v>
      </c>
      <c r="H9" s="81" t="s">
        <v>14</v>
      </c>
      <c r="I9" s="83" t="s">
        <v>18</v>
      </c>
      <c r="J9" s="115" t="s">
        <v>16</v>
      </c>
      <c r="K9" s="147" t="s">
        <v>369</v>
      </c>
      <c r="L9" s="147" t="s">
        <v>370</v>
      </c>
    </row>
    <row r="10" spans="2:12">
      <c r="B10" s="79">
        <v>3</v>
      </c>
      <c r="C10" s="80" t="s">
        <v>19</v>
      </c>
      <c r="D10" s="81">
        <f t="shared" ref="D10:D70" si="0">+E9+1</f>
        <v>9</v>
      </c>
      <c r="E10" s="81">
        <f t="shared" ref="E10:E35" si="1">+D10+F10-1</f>
        <v>15</v>
      </c>
      <c r="F10" s="81">
        <v>7</v>
      </c>
      <c r="G10" s="82" t="s">
        <v>13</v>
      </c>
      <c r="H10" s="81" t="s">
        <v>14</v>
      </c>
      <c r="I10" s="83" t="s">
        <v>20</v>
      </c>
      <c r="J10" s="115" t="s">
        <v>16</v>
      </c>
      <c r="K10" s="147" t="s">
        <v>371</v>
      </c>
      <c r="L10" s="147" t="s">
        <v>372</v>
      </c>
    </row>
    <row r="11" spans="2:12">
      <c r="B11" s="79">
        <v>4</v>
      </c>
      <c r="C11" s="80" t="s">
        <v>21</v>
      </c>
      <c r="D11" s="81">
        <f t="shared" si="0"/>
        <v>16</v>
      </c>
      <c r="E11" s="81">
        <f t="shared" si="1"/>
        <v>22</v>
      </c>
      <c r="F11" s="81">
        <v>7</v>
      </c>
      <c r="G11" s="82" t="s">
        <v>13</v>
      </c>
      <c r="H11" s="81" t="s">
        <v>14</v>
      </c>
      <c r="I11" s="83" t="s">
        <v>22</v>
      </c>
      <c r="J11" s="115" t="s">
        <v>16</v>
      </c>
      <c r="K11" s="147" t="s">
        <v>373</v>
      </c>
      <c r="L11" s="147" t="s">
        <v>374</v>
      </c>
    </row>
    <row r="12" spans="2:12" ht="14.5">
      <c r="B12" s="99">
        <v>5</v>
      </c>
      <c r="C12" s="100" t="s">
        <v>23</v>
      </c>
      <c r="D12" s="101">
        <f t="shared" si="0"/>
        <v>23</v>
      </c>
      <c r="E12" s="101">
        <f t="shared" si="1"/>
        <v>25</v>
      </c>
      <c r="F12" s="101">
        <v>3</v>
      </c>
      <c r="G12" s="102" t="s">
        <v>13</v>
      </c>
      <c r="H12" s="101" t="s">
        <v>14</v>
      </c>
      <c r="I12" s="103" t="s">
        <v>24</v>
      </c>
      <c r="J12" s="115" t="s">
        <v>25</v>
      </c>
      <c r="K12" s="147" t="s">
        <v>375</v>
      </c>
      <c r="L12" s="147" t="s">
        <v>375</v>
      </c>
    </row>
    <row r="13" spans="2:12" ht="23.5">
      <c r="B13" s="79">
        <v>6</v>
      </c>
      <c r="C13" s="80" t="s">
        <v>26</v>
      </c>
      <c r="D13" s="81">
        <f t="shared" si="0"/>
        <v>26</v>
      </c>
      <c r="E13" s="81">
        <f t="shared" si="1"/>
        <v>33</v>
      </c>
      <c r="F13" s="81">
        <v>8</v>
      </c>
      <c r="G13" s="82" t="s">
        <v>27</v>
      </c>
      <c r="H13" s="81" t="s">
        <v>14</v>
      </c>
      <c r="I13" s="90" t="s">
        <v>28</v>
      </c>
      <c r="J13" s="115" t="s">
        <v>16</v>
      </c>
      <c r="K13" s="147" t="s">
        <v>376</v>
      </c>
      <c r="L13" s="147" t="s">
        <v>376</v>
      </c>
    </row>
    <row r="14" spans="2:12" ht="23.5">
      <c r="B14" s="91">
        <v>7</v>
      </c>
      <c r="C14" s="80" t="s">
        <v>29</v>
      </c>
      <c r="D14" s="81">
        <f t="shared" si="0"/>
        <v>34</v>
      </c>
      <c r="E14" s="81">
        <f t="shared" si="1"/>
        <v>41</v>
      </c>
      <c r="F14" s="81">
        <v>8</v>
      </c>
      <c r="G14" s="82" t="s">
        <v>27</v>
      </c>
      <c r="H14" s="81" t="s">
        <v>14</v>
      </c>
      <c r="I14" s="92" t="s">
        <v>353</v>
      </c>
      <c r="J14" s="148" t="s">
        <v>16</v>
      </c>
      <c r="K14" s="147" t="s">
        <v>376</v>
      </c>
      <c r="L14" s="147" t="s">
        <v>376</v>
      </c>
    </row>
    <row r="15" spans="2:12">
      <c r="B15" s="79">
        <v>8</v>
      </c>
      <c r="C15" s="94" t="s">
        <v>31</v>
      </c>
      <c r="D15" s="95">
        <f t="shared" si="0"/>
        <v>42</v>
      </c>
      <c r="E15" s="95">
        <f t="shared" si="1"/>
        <v>42</v>
      </c>
      <c r="F15" s="95">
        <v>1</v>
      </c>
      <c r="G15" s="96" t="s">
        <v>13</v>
      </c>
      <c r="H15" s="95" t="s">
        <v>14</v>
      </c>
      <c r="I15" s="97" t="s">
        <v>377</v>
      </c>
      <c r="J15" s="115" t="s">
        <v>16</v>
      </c>
      <c r="K15" s="147" t="s">
        <v>378</v>
      </c>
      <c r="L15" s="147" t="s">
        <v>378</v>
      </c>
    </row>
    <row r="16" spans="2:12">
      <c r="B16" s="79">
        <v>9</v>
      </c>
      <c r="C16" s="94" t="s">
        <v>33</v>
      </c>
      <c r="D16" s="95">
        <f t="shared" si="0"/>
        <v>43</v>
      </c>
      <c r="E16" s="95">
        <f t="shared" si="1"/>
        <v>43</v>
      </c>
      <c r="F16" s="95">
        <v>1</v>
      </c>
      <c r="G16" s="96" t="s">
        <v>13</v>
      </c>
      <c r="H16" s="95" t="s">
        <v>14</v>
      </c>
      <c r="I16" s="97" t="s">
        <v>357</v>
      </c>
      <c r="J16" s="115" t="s">
        <v>16</v>
      </c>
      <c r="K16" s="147" t="s">
        <v>379</v>
      </c>
      <c r="L16" s="147" t="s">
        <v>379</v>
      </c>
    </row>
    <row r="17" spans="2:12">
      <c r="B17" s="79">
        <v>10</v>
      </c>
      <c r="C17" s="80" t="s">
        <v>35</v>
      </c>
      <c r="D17" s="81">
        <f t="shared" si="0"/>
        <v>44</v>
      </c>
      <c r="E17" s="81">
        <f t="shared" si="1"/>
        <v>50</v>
      </c>
      <c r="F17" s="81">
        <v>7</v>
      </c>
      <c r="G17" s="82" t="s">
        <v>13</v>
      </c>
      <c r="H17" s="81" t="s">
        <v>14</v>
      </c>
      <c r="I17" s="83" t="s">
        <v>36</v>
      </c>
      <c r="J17" s="115" t="s">
        <v>16</v>
      </c>
      <c r="K17" s="147" t="s">
        <v>380</v>
      </c>
      <c r="L17" s="147" t="s">
        <v>381</v>
      </c>
    </row>
    <row r="18" spans="2:12">
      <c r="B18" s="79">
        <v>11</v>
      </c>
      <c r="C18" s="80" t="s">
        <v>37</v>
      </c>
      <c r="D18" s="81">
        <f t="shared" si="0"/>
        <v>51</v>
      </c>
      <c r="E18" s="81">
        <f t="shared" si="1"/>
        <v>64</v>
      </c>
      <c r="F18" s="81">
        <v>14</v>
      </c>
      <c r="G18" s="82" t="s">
        <v>38</v>
      </c>
      <c r="H18" s="81" t="s">
        <v>39</v>
      </c>
      <c r="I18" s="83" t="s">
        <v>40</v>
      </c>
      <c r="J18" s="115" t="s">
        <v>16</v>
      </c>
      <c r="K18" s="147" t="s">
        <v>382</v>
      </c>
      <c r="L18" s="147" t="s">
        <v>383</v>
      </c>
    </row>
    <row r="19" spans="2:12">
      <c r="B19" s="79">
        <v>12</v>
      </c>
      <c r="C19" s="80" t="s">
        <v>41</v>
      </c>
      <c r="D19" s="81">
        <f t="shared" si="0"/>
        <v>65</v>
      </c>
      <c r="E19" s="81">
        <f t="shared" si="1"/>
        <v>80</v>
      </c>
      <c r="F19" s="81">
        <v>16</v>
      </c>
      <c r="G19" s="82" t="s">
        <v>42</v>
      </c>
      <c r="H19" s="81" t="s">
        <v>39</v>
      </c>
      <c r="I19" s="83" t="s">
        <v>43</v>
      </c>
      <c r="J19" s="115" t="s">
        <v>16</v>
      </c>
      <c r="K19" s="147" t="s">
        <v>384</v>
      </c>
      <c r="L19" s="147" t="s">
        <v>385</v>
      </c>
    </row>
    <row r="20" spans="2:12" ht="14.5">
      <c r="B20" s="99">
        <v>13</v>
      </c>
      <c r="C20" s="100" t="s">
        <v>44</v>
      </c>
      <c r="D20" s="101">
        <f t="shared" si="0"/>
        <v>81</v>
      </c>
      <c r="E20" s="101">
        <f t="shared" si="1"/>
        <v>94</v>
      </c>
      <c r="F20" s="101">
        <v>14</v>
      </c>
      <c r="G20" s="102" t="s">
        <v>45</v>
      </c>
      <c r="H20" s="101" t="s">
        <v>14</v>
      </c>
      <c r="I20" s="103" t="s">
        <v>360</v>
      </c>
      <c r="J20" s="115" t="s">
        <v>25</v>
      </c>
      <c r="K20" s="147" t="s">
        <v>386</v>
      </c>
      <c r="L20" s="147" t="s">
        <v>386</v>
      </c>
    </row>
    <row r="21" spans="2:12" ht="14.5">
      <c r="B21" s="99">
        <v>14</v>
      </c>
      <c r="C21" s="100" t="s">
        <v>47</v>
      </c>
      <c r="D21" s="101">
        <f t="shared" si="0"/>
        <v>95</v>
      </c>
      <c r="E21" s="101">
        <f t="shared" si="1"/>
        <v>108</v>
      </c>
      <c r="F21" s="101">
        <v>14</v>
      </c>
      <c r="G21" s="102" t="s">
        <v>45</v>
      </c>
      <c r="H21" s="101" t="s">
        <v>14</v>
      </c>
      <c r="I21" s="103" t="s">
        <v>361</v>
      </c>
      <c r="J21" s="115" t="s">
        <v>25</v>
      </c>
      <c r="K21" s="147" t="s">
        <v>386</v>
      </c>
      <c r="L21" s="147" t="s">
        <v>386</v>
      </c>
    </row>
    <row r="22" spans="2:12" ht="14.5">
      <c r="B22" s="99">
        <v>15</v>
      </c>
      <c r="C22" s="149" t="s">
        <v>49</v>
      </c>
      <c r="D22" s="150">
        <f t="shared" si="0"/>
        <v>109</v>
      </c>
      <c r="E22" s="150">
        <f t="shared" si="1"/>
        <v>116</v>
      </c>
      <c r="F22" s="150">
        <v>8</v>
      </c>
      <c r="G22" s="151" t="s">
        <v>27</v>
      </c>
      <c r="H22" s="150" t="s">
        <v>14</v>
      </c>
      <c r="I22" s="152" t="s">
        <v>50</v>
      </c>
      <c r="J22" s="115" t="s">
        <v>25</v>
      </c>
      <c r="K22" s="147" t="s">
        <v>376</v>
      </c>
      <c r="L22" s="147" t="s">
        <v>376</v>
      </c>
    </row>
    <row r="23" spans="2:12">
      <c r="B23" s="79">
        <v>16</v>
      </c>
      <c r="C23" s="94" t="s">
        <v>51</v>
      </c>
      <c r="D23" s="95">
        <f t="shared" si="0"/>
        <v>117</v>
      </c>
      <c r="E23" s="95">
        <f t="shared" si="1"/>
        <v>133</v>
      </c>
      <c r="F23" s="95">
        <v>17</v>
      </c>
      <c r="G23" s="96" t="s">
        <v>52</v>
      </c>
      <c r="H23" s="95" t="s">
        <v>14</v>
      </c>
      <c r="I23" s="98" t="s">
        <v>53</v>
      </c>
      <c r="J23" s="115" t="s">
        <v>16</v>
      </c>
      <c r="K23" s="147" t="s">
        <v>387</v>
      </c>
      <c r="L23" s="147" t="s">
        <v>388</v>
      </c>
    </row>
    <row r="24" spans="2:12">
      <c r="B24" s="79">
        <v>17</v>
      </c>
      <c r="C24" s="80" t="s">
        <v>54</v>
      </c>
      <c r="D24" s="81">
        <f t="shared" si="0"/>
        <v>134</v>
      </c>
      <c r="E24" s="81">
        <f t="shared" si="1"/>
        <v>139</v>
      </c>
      <c r="F24" s="81">
        <v>6</v>
      </c>
      <c r="G24" s="82" t="s">
        <v>13</v>
      </c>
      <c r="H24" s="81" t="s">
        <v>39</v>
      </c>
      <c r="I24" s="83" t="s">
        <v>55</v>
      </c>
      <c r="J24" s="115" t="s">
        <v>16</v>
      </c>
      <c r="K24" s="147" t="s">
        <v>389</v>
      </c>
      <c r="L24" s="147" t="s">
        <v>390</v>
      </c>
    </row>
    <row r="25" spans="2:12">
      <c r="B25" s="79">
        <v>18</v>
      </c>
      <c r="C25" s="80" t="s">
        <v>56</v>
      </c>
      <c r="D25" s="81">
        <f t="shared" si="0"/>
        <v>140</v>
      </c>
      <c r="E25" s="81">
        <f t="shared" si="1"/>
        <v>157</v>
      </c>
      <c r="F25" s="81">
        <v>18</v>
      </c>
      <c r="G25" s="82" t="s">
        <v>13</v>
      </c>
      <c r="H25" s="81" t="s">
        <v>57</v>
      </c>
      <c r="I25" s="83" t="s">
        <v>58</v>
      </c>
      <c r="J25" s="115" t="s">
        <v>16</v>
      </c>
      <c r="K25" s="147" t="s">
        <v>391</v>
      </c>
      <c r="L25" s="147" t="s">
        <v>391</v>
      </c>
    </row>
    <row r="26" spans="2:12">
      <c r="B26" s="79">
        <v>19</v>
      </c>
      <c r="C26" s="80" t="s">
        <v>59</v>
      </c>
      <c r="D26" s="81">
        <f t="shared" si="0"/>
        <v>158</v>
      </c>
      <c r="E26" s="81">
        <f t="shared" si="1"/>
        <v>166</v>
      </c>
      <c r="F26" s="81">
        <v>9</v>
      </c>
      <c r="G26" s="82" t="s">
        <v>60</v>
      </c>
      <c r="H26" s="81" t="s">
        <v>57</v>
      </c>
      <c r="I26" s="83" t="s">
        <v>61</v>
      </c>
      <c r="J26" s="115" t="s">
        <v>16</v>
      </c>
      <c r="K26" s="147" t="s">
        <v>392</v>
      </c>
      <c r="L26" s="147" t="s">
        <v>392</v>
      </c>
    </row>
    <row r="27" spans="2:12">
      <c r="B27" s="79">
        <v>20</v>
      </c>
      <c r="C27" s="80" t="s">
        <v>62</v>
      </c>
      <c r="D27" s="81">
        <f t="shared" si="0"/>
        <v>167</v>
      </c>
      <c r="E27" s="81">
        <f t="shared" si="1"/>
        <v>167</v>
      </c>
      <c r="F27" s="81">
        <v>1</v>
      </c>
      <c r="G27" s="82" t="s">
        <v>13</v>
      </c>
      <c r="H27" s="81" t="s">
        <v>14</v>
      </c>
      <c r="I27" s="83" t="s">
        <v>63</v>
      </c>
      <c r="J27" s="115" t="s">
        <v>16</v>
      </c>
      <c r="K27" s="147" t="s">
        <v>393</v>
      </c>
      <c r="L27" s="147" t="s">
        <v>394</v>
      </c>
    </row>
    <row r="28" spans="2:12">
      <c r="B28" s="79">
        <v>21</v>
      </c>
      <c r="C28" s="80" t="s">
        <v>64</v>
      </c>
      <c r="D28" s="81">
        <f t="shared" si="0"/>
        <v>168</v>
      </c>
      <c r="E28" s="81">
        <f t="shared" si="1"/>
        <v>172</v>
      </c>
      <c r="F28" s="81">
        <v>5</v>
      </c>
      <c r="G28" s="82" t="s">
        <v>13</v>
      </c>
      <c r="H28" s="81" t="s">
        <v>14</v>
      </c>
      <c r="I28" s="83"/>
      <c r="J28" s="115" t="s">
        <v>16</v>
      </c>
      <c r="K28" s="147" t="s">
        <v>395</v>
      </c>
      <c r="L28" s="147" t="s">
        <v>395</v>
      </c>
    </row>
    <row r="29" spans="2:12" ht="14.5">
      <c r="B29" s="99">
        <v>22</v>
      </c>
      <c r="C29" s="100" t="s">
        <v>65</v>
      </c>
      <c r="D29" s="101">
        <f t="shared" si="0"/>
        <v>173</v>
      </c>
      <c r="E29" s="101">
        <f t="shared" si="1"/>
        <v>180</v>
      </c>
      <c r="F29" s="101">
        <v>8</v>
      </c>
      <c r="G29" s="102" t="s">
        <v>13</v>
      </c>
      <c r="H29" s="101" t="s">
        <v>14</v>
      </c>
      <c r="I29" s="103"/>
      <c r="J29" s="115" t="s">
        <v>25</v>
      </c>
      <c r="K29" s="147" t="s">
        <v>396</v>
      </c>
      <c r="L29" s="147" t="s">
        <v>396</v>
      </c>
    </row>
    <row r="30" spans="2:12" ht="14.5">
      <c r="B30" s="99">
        <v>23</v>
      </c>
      <c r="C30" s="100" t="s">
        <v>66</v>
      </c>
      <c r="D30" s="101">
        <f t="shared" si="0"/>
        <v>181</v>
      </c>
      <c r="E30" s="101">
        <f t="shared" si="1"/>
        <v>198</v>
      </c>
      <c r="F30" s="101">
        <v>18</v>
      </c>
      <c r="G30" s="102" t="s">
        <v>67</v>
      </c>
      <c r="H30" s="101" t="s">
        <v>39</v>
      </c>
      <c r="I30" s="103" t="s">
        <v>68</v>
      </c>
      <c r="J30" s="115" t="s">
        <v>25</v>
      </c>
      <c r="K30" s="147" t="s">
        <v>397</v>
      </c>
      <c r="L30" s="147" t="s">
        <v>397</v>
      </c>
    </row>
    <row r="31" spans="2:12" ht="14.5">
      <c r="B31" s="99">
        <v>24</v>
      </c>
      <c r="C31" s="100" t="s">
        <v>69</v>
      </c>
      <c r="D31" s="101">
        <f t="shared" si="0"/>
        <v>199</v>
      </c>
      <c r="E31" s="101">
        <f t="shared" si="1"/>
        <v>216</v>
      </c>
      <c r="F31" s="101">
        <v>18</v>
      </c>
      <c r="G31" s="102" t="s">
        <v>67</v>
      </c>
      <c r="H31" s="101" t="s">
        <v>39</v>
      </c>
      <c r="I31" s="103" t="s">
        <v>68</v>
      </c>
      <c r="J31" s="115" t="s">
        <v>25</v>
      </c>
      <c r="K31" s="147" t="s">
        <v>397</v>
      </c>
      <c r="L31" s="147" t="s">
        <v>397</v>
      </c>
    </row>
    <row r="32" spans="2:12">
      <c r="B32" s="79">
        <v>25</v>
      </c>
      <c r="C32" s="80" t="s">
        <v>70</v>
      </c>
      <c r="D32" s="81">
        <f t="shared" si="0"/>
        <v>217</v>
      </c>
      <c r="E32" s="81">
        <f t="shared" si="1"/>
        <v>234</v>
      </c>
      <c r="F32" s="81">
        <v>18</v>
      </c>
      <c r="G32" s="82" t="s">
        <v>67</v>
      </c>
      <c r="H32" s="81" t="s">
        <v>39</v>
      </c>
      <c r="I32" s="83" t="s">
        <v>68</v>
      </c>
      <c r="J32" s="115" t="s">
        <v>16</v>
      </c>
      <c r="K32" s="147" t="s">
        <v>398</v>
      </c>
      <c r="L32" s="147" t="s">
        <v>397</v>
      </c>
    </row>
    <row r="33" spans="2:12">
      <c r="B33" s="79">
        <v>26</v>
      </c>
      <c r="C33" s="80" t="s">
        <v>71</v>
      </c>
      <c r="D33" s="81">
        <f t="shared" si="0"/>
        <v>235</v>
      </c>
      <c r="E33" s="81">
        <f t="shared" si="1"/>
        <v>252</v>
      </c>
      <c r="F33" s="81">
        <v>18</v>
      </c>
      <c r="G33" s="82" t="s">
        <v>67</v>
      </c>
      <c r="H33" s="81" t="s">
        <v>39</v>
      </c>
      <c r="I33" s="83" t="s">
        <v>68</v>
      </c>
      <c r="J33" s="115" t="s">
        <v>16</v>
      </c>
      <c r="K33" s="147" t="s">
        <v>399</v>
      </c>
      <c r="L33" s="147" t="s">
        <v>397</v>
      </c>
    </row>
    <row r="34" spans="2:12">
      <c r="B34" s="79">
        <v>27</v>
      </c>
      <c r="C34" s="80" t="s">
        <v>72</v>
      </c>
      <c r="D34" s="81">
        <f t="shared" si="0"/>
        <v>253</v>
      </c>
      <c r="E34" s="81">
        <f t="shared" si="1"/>
        <v>402</v>
      </c>
      <c r="F34" s="81">
        <v>150</v>
      </c>
      <c r="G34" s="82" t="s">
        <v>13</v>
      </c>
      <c r="H34" s="81" t="s">
        <v>39</v>
      </c>
      <c r="I34" s="83" t="s">
        <v>73</v>
      </c>
      <c r="J34" s="115" t="s">
        <v>16</v>
      </c>
      <c r="K34" s="147" t="s">
        <v>400</v>
      </c>
      <c r="L34" s="147" t="s">
        <v>400</v>
      </c>
    </row>
    <row r="35" spans="2:12">
      <c r="B35" s="79">
        <v>28</v>
      </c>
      <c r="C35" s="80" t="s">
        <v>74</v>
      </c>
      <c r="D35" s="81">
        <f t="shared" si="0"/>
        <v>403</v>
      </c>
      <c r="E35" s="81">
        <f t="shared" si="1"/>
        <v>409</v>
      </c>
      <c r="F35" s="81">
        <v>7</v>
      </c>
      <c r="G35" s="82" t="s">
        <v>13</v>
      </c>
      <c r="H35" s="81" t="s">
        <v>14</v>
      </c>
      <c r="I35" s="83" t="s">
        <v>75</v>
      </c>
      <c r="J35" s="115" t="s">
        <v>16</v>
      </c>
      <c r="K35" s="147" t="s">
        <v>401</v>
      </c>
      <c r="L35" s="147" t="s">
        <v>401</v>
      </c>
    </row>
    <row r="36" spans="2:12">
      <c r="B36" s="79">
        <v>29</v>
      </c>
      <c r="C36" s="80" t="s">
        <v>76</v>
      </c>
      <c r="D36" s="81">
        <f t="shared" si="0"/>
        <v>410</v>
      </c>
      <c r="E36" s="81">
        <f>+D36+F36-1</f>
        <v>418</v>
      </c>
      <c r="F36" s="81">
        <v>9</v>
      </c>
      <c r="G36" s="82" t="s">
        <v>60</v>
      </c>
      <c r="H36" s="81" t="s">
        <v>14</v>
      </c>
      <c r="I36" s="83" t="s">
        <v>77</v>
      </c>
      <c r="J36" s="115" t="s">
        <v>16</v>
      </c>
      <c r="K36" s="147" t="s">
        <v>392</v>
      </c>
      <c r="L36" s="147" t="s">
        <v>392</v>
      </c>
    </row>
    <row r="37" spans="2:12" ht="24">
      <c r="B37" s="153">
        <v>30</v>
      </c>
      <c r="C37" s="154" t="s">
        <v>78</v>
      </c>
      <c r="D37" s="155">
        <f t="shared" si="0"/>
        <v>419</v>
      </c>
      <c r="E37" s="155">
        <f>+D37+F37-1</f>
        <v>436</v>
      </c>
      <c r="F37" s="155">
        <v>18</v>
      </c>
      <c r="G37" s="156" t="s">
        <v>67</v>
      </c>
      <c r="H37" s="155" t="s">
        <v>79</v>
      </c>
      <c r="I37" s="157" t="s">
        <v>80</v>
      </c>
      <c r="J37" s="158" t="s">
        <v>25</v>
      </c>
      <c r="K37" s="147" t="s">
        <v>397</v>
      </c>
      <c r="L37" s="147" t="s">
        <v>397</v>
      </c>
    </row>
    <row r="38" spans="2:12">
      <c r="B38" s="159">
        <v>31</v>
      </c>
      <c r="C38" s="160" t="s">
        <v>81</v>
      </c>
      <c r="D38" s="161">
        <f t="shared" si="0"/>
        <v>437</v>
      </c>
      <c r="E38" s="161">
        <f>+D38+F38-1</f>
        <v>454</v>
      </c>
      <c r="F38" s="161">
        <v>18</v>
      </c>
      <c r="G38" s="162" t="s">
        <v>67</v>
      </c>
      <c r="H38" s="161" t="s">
        <v>82</v>
      </c>
      <c r="I38" s="163" t="s">
        <v>68</v>
      </c>
      <c r="J38" s="158" t="s">
        <v>16</v>
      </c>
      <c r="K38" s="147" t="s">
        <v>397</v>
      </c>
      <c r="L38" s="147" t="s">
        <v>397</v>
      </c>
    </row>
    <row r="39" spans="2:12">
      <c r="B39" s="79">
        <v>32</v>
      </c>
      <c r="C39" s="80" t="s">
        <v>84</v>
      </c>
      <c r="D39" s="81">
        <f t="shared" si="0"/>
        <v>455</v>
      </c>
      <c r="E39" s="81">
        <f>+D39+F39-1</f>
        <v>455</v>
      </c>
      <c r="F39" s="81">
        <v>1</v>
      </c>
      <c r="G39" s="82" t="s">
        <v>85</v>
      </c>
      <c r="H39" s="81" t="s">
        <v>14</v>
      </c>
      <c r="I39" s="83" t="s">
        <v>86</v>
      </c>
      <c r="J39" s="115" t="s">
        <v>16</v>
      </c>
      <c r="K39" s="147" t="s">
        <v>402</v>
      </c>
      <c r="L39" s="147" t="s">
        <v>402</v>
      </c>
    </row>
    <row r="40" spans="2:12">
      <c r="B40" s="79">
        <v>33</v>
      </c>
      <c r="C40" s="80" t="s">
        <v>87</v>
      </c>
      <c r="D40" s="81">
        <f t="shared" si="0"/>
        <v>456</v>
      </c>
      <c r="E40" s="81">
        <f>+D40+F40-1</f>
        <v>463</v>
      </c>
      <c r="F40" s="81">
        <v>8</v>
      </c>
      <c r="G40" s="82" t="s">
        <v>13</v>
      </c>
      <c r="H40" s="81" t="s">
        <v>14</v>
      </c>
      <c r="I40" s="83" t="s">
        <v>88</v>
      </c>
      <c r="J40" s="115" t="s">
        <v>16</v>
      </c>
      <c r="K40" s="147" t="s">
        <v>403</v>
      </c>
      <c r="L40" s="147" t="s">
        <v>404</v>
      </c>
    </row>
    <row r="41" spans="2:12">
      <c r="B41" s="79">
        <v>34</v>
      </c>
      <c r="C41" s="80" t="s">
        <v>89</v>
      </c>
      <c r="D41" s="81">
        <f t="shared" si="0"/>
        <v>464</v>
      </c>
      <c r="E41" s="81">
        <f t="shared" ref="E41:E70" si="2">+D41+F41-1</f>
        <v>478</v>
      </c>
      <c r="F41" s="81">
        <v>15</v>
      </c>
      <c r="G41" s="82" t="s">
        <v>13</v>
      </c>
      <c r="H41" s="81" t="s">
        <v>14</v>
      </c>
      <c r="I41" s="83" t="s">
        <v>88</v>
      </c>
      <c r="J41" s="115" t="s">
        <v>16</v>
      </c>
      <c r="K41" s="147" t="s">
        <v>405</v>
      </c>
      <c r="L41" s="147" t="s">
        <v>406</v>
      </c>
    </row>
    <row r="42" spans="2:12">
      <c r="B42" s="79">
        <v>35</v>
      </c>
      <c r="C42" s="104" t="s">
        <v>90</v>
      </c>
      <c r="D42" s="105">
        <f t="shared" si="0"/>
        <v>479</v>
      </c>
      <c r="E42" s="105">
        <f t="shared" si="2"/>
        <v>480</v>
      </c>
      <c r="F42" s="105">
        <v>2</v>
      </c>
      <c r="G42" s="106" t="s">
        <v>13</v>
      </c>
      <c r="H42" s="105" t="s">
        <v>14</v>
      </c>
      <c r="I42" s="107" t="s">
        <v>91</v>
      </c>
      <c r="J42" s="115" t="s">
        <v>16</v>
      </c>
      <c r="K42" s="147" t="s">
        <v>175</v>
      </c>
      <c r="L42" s="147" t="s">
        <v>194</v>
      </c>
    </row>
    <row r="43" spans="2:12">
      <c r="B43" s="79">
        <v>36</v>
      </c>
      <c r="C43" s="104" t="s">
        <v>92</v>
      </c>
      <c r="D43" s="105">
        <f t="shared" si="0"/>
        <v>481</v>
      </c>
      <c r="E43" s="105">
        <f t="shared" si="2"/>
        <v>481</v>
      </c>
      <c r="F43" s="105">
        <v>1</v>
      </c>
      <c r="G43" s="106" t="s">
        <v>13</v>
      </c>
      <c r="H43" s="105" t="s">
        <v>14</v>
      </c>
      <c r="I43" s="108" t="s">
        <v>93</v>
      </c>
      <c r="J43" s="115" t="s">
        <v>16</v>
      </c>
      <c r="K43" s="147" t="s">
        <v>407</v>
      </c>
      <c r="L43" s="147" t="s">
        <v>407</v>
      </c>
    </row>
    <row r="44" spans="2:12">
      <c r="B44" s="79">
        <v>37</v>
      </c>
      <c r="C44" s="104" t="s">
        <v>94</v>
      </c>
      <c r="D44" s="105">
        <f t="shared" si="0"/>
        <v>482</v>
      </c>
      <c r="E44" s="105">
        <f t="shared" si="2"/>
        <v>482</v>
      </c>
      <c r="F44" s="105">
        <v>1</v>
      </c>
      <c r="G44" s="106" t="s">
        <v>13</v>
      </c>
      <c r="H44" s="105" t="s">
        <v>14</v>
      </c>
      <c r="I44" s="108" t="s">
        <v>95</v>
      </c>
      <c r="J44" s="115" t="s">
        <v>16</v>
      </c>
      <c r="K44" s="147" t="s">
        <v>408</v>
      </c>
      <c r="L44" s="147" t="s">
        <v>408</v>
      </c>
    </row>
    <row r="45" spans="2:12">
      <c r="B45" s="79">
        <v>38</v>
      </c>
      <c r="C45" s="104" t="s">
        <v>96</v>
      </c>
      <c r="D45" s="105">
        <f t="shared" si="0"/>
        <v>483</v>
      </c>
      <c r="E45" s="105">
        <f t="shared" si="2"/>
        <v>486</v>
      </c>
      <c r="F45" s="105">
        <v>4</v>
      </c>
      <c r="G45" s="106" t="s">
        <v>85</v>
      </c>
      <c r="H45" s="105" t="s">
        <v>14</v>
      </c>
      <c r="I45" s="107" t="s">
        <v>97</v>
      </c>
      <c r="J45" s="115" t="s">
        <v>16</v>
      </c>
      <c r="K45" s="147" t="s">
        <v>409</v>
      </c>
      <c r="L45" s="147" t="s">
        <v>409</v>
      </c>
    </row>
    <row r="46" spans="2:12">
      <c r="B46" s="79">
        <v>39</v>
      </c>
      <c r="C46" s="104" t="s">
        <v>98</v>
      </c>
      <c r="D46" s="105">
        <f t="shared" si="0"/>
        <v>487</v>
      </c>
      <c r="E46" s="105">
        <f t="shared" si="2"/>
        <v>494</v>
      </c>
      <c r="F46" s="105">
        <v>8</v>
      </c>
      <c r="G46" s="106" t="s">
        <v>99</v>
      </c>
      <c r="H46" s="105" t="s">
        <v>14</v>
      </c>
      <c r="I46" s="107" t="s">
        <v>100</v>
      </c>
      <c r="J46" s="115" t="s">
        <v>16</v>
      </c>
      <c r="K46" s="147" t="s">
        <v>410</v>
      </c>
      <c r="L46" s="147" t="s">
        <v>411</v>
      </c>
    </row>
    <row r="47" spans="2:12">
      <c r="B47" s="79">
        <v>40</v>
      </c>
      <c r="C47" s="104" t="s">
        <v>101</v>
      </c>
      <c r="D47" s="105">
        <f t="shared" si="0"/>
        <v>495</v>
      </c>
      <c r="E47" s="105">
        <f t="shared" si="2"/>
        <v>502</v>
      </c>
      <c r="F47" s="105">
        <v>8</v>
      </c>
      <c r="G47" s="106" t="s">
        <v>99</v>
      </c>
      <c r="H47" s="105" t="s">
        <v>14</v>
      </c>
      <c r="I47" s="107" t="s">
        <v>102</v>
      </c>
      <c r="J47" s="115" t="s">
        <v>16</v>
      </c>
      <c r="K47" s="147" t="s">
        <v>412</v>
      </c>
      <c r="L47" s="147" t="s">
        <v>411</v>
      </c>
    </row>
    <row r="48" spans="2:12">
      <c r="B48" s="79">
        <v>41</v>
      </c>
      <c r="C48" s="104" t="s">
        <v>103</v>
      </c>
      <c r="D48" s="105">
        <f t="shared" si="0"/>
        <v>503</v>
      </c>
      <c r="E48" s="105">
        <f t="shared" si="2"/>
        <v>505</v>
      </c>
      <c r="F48" s="105">
        <v>3</v>
      </c>
      <c r="G48" s="106" t="s">
        <v>13</v>
      </c>
      <c r="H48" s="105" t="s">
        <v>14</v>
      </c>
      <c r="I48" s="107" t="s">
        <v>91</v>
      </c>
      <c r="J48" s="115" t="s">
        <v>16</v>
      </c>
      <c r="K48" s="147" t="s">
        <v>413</v>
      </c>
      <c r="L48" s="147" t="s">
        <v>414</v>
      </c>
    </row>
    <row r="49" spans="2:12">
      <c r="B49" s="79">
        <v>42</v>
      </c>
      <c r="C49" s="104" t="s">
        <v>104</v>
      </c>
      <c r="D49" s="105">
        <f t="shared" si="0"/>
        <v>506</v>
      </c>
      <c r="E49" s="105">
        <f t="shared" si="2"/>
        <v>508</v>
      </c>
      <c r="F49" s="105">
        <v>3</v>
      </c>
      <c r="G49" s="106" t="s">
        <v>13</v>
      </c>
      <c r="H49" s="105" t="s">
        <v>14</v>
      </c>
      <c r="I49" s="107" t="s">
        <v>91</v>
      </c>
      <c r="J49" s="115" t="s">
        <v>16</v>
      </c>
      <c r="K49" s="147" t="s">
        <v>413</v>
      </c>
      <c r="L49" s="147" t="s">
        <v>415</v>
      </c>
    </row>
    <row r="50" spans="2:12">
      <c r="B50" s="159">
        <v>43</v>
      </c>
      <c r="C50" s="160" t="s">
        <v>105</v>
      </c>
      <c r="D50" s="161">
        <f t="shared" si="0"/>
        <v>509</v>
      </c>
      <c r="E50" s="161">
        <f t="shared" si="2"/>
        <v>511</v>
      </c>
      <c r="F50" s="161">
        <v>3</v>
      </c>
      <c r="G50" s="162" t="s">
        <v>13</v>
      </c>
      <c r="H50" s="161" t="s">
        <v>82</v>
      </c>
      <c r="I50" s="163" t="s">
        <v>106</v>
      </c>
      <c r="J50" s="158" t="s">
        <v>16</v>
      </c>
      <c r="K50" s="147" t="s">
        <v>416</v>
      </c>
      <c r="L50" s="147" t="s">
        <v>416</v>
      </c>
    </row>
    <row r="51" spans="2:12">
      <c r="B51" s="159">
        <v>44</v>
      </c>
      <c r="C51" s="160" t="s">
        <v>107</v>
      </c>
      <c r="D51" s="161">
        <f t="shared" si="0"/>
        <v>512</v>
      </c>
      <c r="E51" s="161">
        <f t="shared" si="2"/>
        <v>514</v>
      </c>
      <c r="F51" s="161">
        <v>3</v>
      </c>
      <c r="G51" s="162" t="s">
        <v>13</v>
      </c>
      <c r="H51" s="161" t="s">
        <v>82</v>
      </c>
      <c r="I51" s="163" t="s">
        <v>106</v>
      </c>
      <c r="J51" s="158" t="s">
        <v>16</v>
      </c>
      <c r="K51" s="147" t="s">
        <v>413</v>
      </c>
      <c r="L51" s="147" t="s">
        <v>413</v>
      </c>
    </row>
    <row r="52" spans="2:12">
      <c r="B52" s="79">
        <v>45</v>
      </c>
      <c r="C52" s="104" t="s">
        <v>108</v>
      </c>
      <c r="D52" s="105">
        <f t="shared" si="0"/>
        <v>515</v>
      </c>
      <c r="E52" s="105">
        <f t="shared" si="2"/>
        <v>524</v>
      </c>
      <c r="F52" s="105">
        <v>10</v>
      </c>
      <c r="G52" s="106" t="s">
        <v>85</v>
      </c>
      <c r="H52" s="105" t="s">
        <v>109</v>
      </c>
      <c r="I52" s="107" t="s">
        <v>110</v>
      </c>
      <c r="J52" s="115" t="s">
        <v>16</v>
      </c>
      <c r="K52" s="147" t="s">
        <v>417</v>
      </c>
      <c r="L52" s="147" t="s">
        <v>418</v>
      </c>
    </row>
    <row r="53" spans="2:12">
      <c r="B53" s="159">
        <v>46</v>
      </c>
      <c r="C53" s="160" t="s">
        <v>111</v>
      </c>
      <c r="D53" s="161">
        <f t="shared" si="0"/>
        <v>525</v>
      </c>
      <c r="E53" s="161">
        <f t="shared" si="2"/>
        <v>538</v>
      </c>
      <c r="F53" s="161">
        <v>14</v>
      </c>
      <c r="G53" s="162" t="s">
        <v>112</v>
      </c>
      <c r="H53" s="161" t="s">
        <v>113</v>
      </c>
      <c r="I53" s="163" t="s">
        <v>114</v>
      </c>
      <c r="J53" s="158" t="s">
        <v>16</v>
      </c>
      <c r="K53" s="147" t="s">
        <v>419</v>
      </c>
      <c r="L53" s="147" t="s">
        <v>419</v>
      </c>
    </row>
    <row r="54" spans="2:12">
      <c r="B54" s="79">
        <v>47</v>
      </c>
      <c r="C54" s="104" t="s">
        <v>115</v>
      </c>
      <c r="D54" s="105">
        <f t="shared" si="0"/>
        <v>539</v>
      </c>
      <c r="E54" s="105">
        <f t="shared" si="2"/>
        <v>558</v>
      </c>
      <c r="F54" s="105">
        <v>20</v>
      </c>
      <c r="G54" s="106" t="s">
        <v>13</v>
      </c>
      <c r="H54" s="105" t="s">
        <v>109</v>
      </c>
      <c r="I54" s="107" t="s">
        <v>116</v>
      </c>
      <c r="J54" s="115" t="s">
        <v>16</v>
      </c>
      <c r="K54" s="147" t="s">
        <v>420</v>
      </c>
      <c r="L54" s="147" t="s">
        <v>421</v>
      </c>
    </row>
    <row r="55" spans="2:12">
      <c r="B55" s="159">
        <v>48</v>
      </c>
      <c r="C55" s="160" t="s">
        <v>117</v>
      </c>
      <c r="D55" s="161">
        <f t="shared" si="0"/>
        <v>559</v>
      </c>
      <c r="E55" s="161">
        <f t="shared" si="2"/>
        <v>576</v>
      </c>
      <c r="F55" s="161">
        <v>18</v>
      </c>
      <c r="G55" s="162" t="s">
        <v>67</v>
      </c>
      <c r="H55" s="161" t="s">
        <v>118</v>
      </c>
      <c r="I55" s="163" t="s">
        <v>363</v>
      </c>
      <c r="J55" s="158" t="s">
        <v>16</v>
      </c>
      <c r="K55" s="147" t="s">
        <v>397</v>
      </c>
      <c r="L55" s="147" t="s">
        <v>397</v>
      </c>
    </row>
    <row r="56" spans="2:12">
      <c r="B56" s="159">
        <v>49</v>
      </c>
      <c r="C56" s="160" t="s">
        <v>120</v>
      </c>
      <c r="D56" s="161">
        <f t="shared" si="0"/>
        <v>577</v>
      </c>
      <c r="E56" s="161">
        <f t="shared" si="2"/>
        <v>584</v>
      </c>
      <c r="F56" s="161">
        <v>8</v>
      </c>
      <c r="G56" s="162" t="s">
        <v>121</v>
      </c>
      <c r="H56" s="161" t="s">
        <v>82</v>
      </c>
      <c r="I56" s="163" t="s">
        <v>122</v>
      </c>
      <c r="J56" s="158" t="s">
        <v>16</v>
      </c>
      <c r="K56" s="147" t="s">
        <v>422</v>
      </c>
      <c r="L56" s="147" t="s">
        <v>422</v>
      </c>
    </row>
    <row r="57" spans="2:12" ht="23.5">
      <c r="B57" s="91">
        <v>50</v>
      </c>
      <c r="C57" s="80" t="s">
        <v>123</v>
      </c>
      <c r="D57" s="81">
        <f t="shared" si="0"/>
        <v>585</v>
      </c>
      <c r="E57" s="81">
        <f t="shared" si="2"/>
        <v>598</v>
      </c>
      <c r="F57" s="81">
        <v>14</v>
      </c>
      <c r="G57" s="82" t="s">
        <v>13</v>
      </c>
      <c r="H57" s="81" t="s">
        <v>109</v>
      </c>
      <c r="I57" s="90" t="s">
        <v>124</v>
      </c>
      <c r="J57" s="115" t="s">
        <v>16</v>
      </c>
      <c r="K57" s="147" t="s">
        <v>419</v>
      </c>
      <c r="L57" s="147" t="s">
        <v>419</v>
      </c>
    </row>
    <row r="58" spans="2:12">
      <c r="B58" s="79">
        <v>51</v>
      </c>
      <c r="C58" s="80" t="s">
        <v>125</v>
      </c>
      <c r="D58" s="81">
        <f t="shared" si="0"/>
        <v>599</v>
      </c>
      <c r="E58" s="81">
        <f t="shared" si="2"/>
        <v>601</v>
      </c>
      <c r="F58" s="81">
        <v>3</v>
      </c>
      <c r="G58" s="82" t="s">
        <v>13</v>
      </c>
      <c r="H58" s="81" t="s">
        <v>109</v>
      </c>
      <c r="I58" s="83" t="s">
        <v>91</v>
      </c>
      <c r="J58" s="115" t="s">
        <v>16</v>
      </c>
      <c r="K58" s="147" t="s">
        <v>423</v>
      </c>
      <c r="L58" s="147" t="s">
        <v>424</v>
      </c>
    </row>
    <row r="59" spans="2:12">
      <c r="B59" s="79">
        <v>52</v>
      </c>
      <c r="C59" s="80" t="s">
        <v>126</v>
      </c>
      <c r="D59" s="81">
        <f t="shared" si="0"/>
        <v>602</v>
      </c>
      <c r="E59" s="81">
        <f t="shared" si="2"/>
        <v>608</v>
      </c>
      <c r="F59" s="81">
        <v>7</v>
      </c>
      <c r="G59" s="82" t="s">
        <v>13</v>
      </c>
      <c r="H59" s="81" t="s">
        <v>127</v>
      </c>
      <c r="I59" s="83" t="s">
        <v>88</v>
      </c>
      <c r="J59" s="115" t="s">
        <v>16</v>
      </c>
      <c r="K59" s="147" t="s">
        <v>380</v>
      </c>
      <c r="L59" s="147" t="s">
        <v>425</v>
      </c>
    </row>
    <row r="60" spans="2:12">
      <c r="B60" s="79">
        <v>53</v>
      </c>
      <c r="C60" s="80" t="s">
        <v>128</v>
      </c>
      <c r="D60" s="81">
        <f t="shared" si="0"/>
        <v>609</v>
      </c>
      <c r="E60" s="81">
        <f t="shared" si="2"/>
        <v>616</v>
      </c>
      <c r="F60" s="81">
        <v>8</v>
      </c>
      <c r="G60" s="82" t="s">
        <v>13</v>
      </c>
      <c r="H60" s="81" t="s">
        <v>127</v>
      </c>
      <c r="I60" s="83" t="s">
        <v>88</v>
      </c>
      <c r="J60" s="115" t="s">
        <v>16</v>
      </c>
      <c r="K60" s="147" t="s">
        <v>403</v>
      </c>
      <c r="L60" s="147" t="s">
        <v>396</v>
      </c>
    </row>
    <row r="61" spans="2:12">
      <c r="B61" s="79">
        <v>54</v>
      </c>
      <c r="C61" s="80" t="s">
        <v>129</v>
      </c>
      <c r="D61" s="81">
        <f t="shared" si="0"/>
        <v>617</v>
      </c>
      <c r="E61" s="81">
        <f t="shared" si="2"/>
        <v>631</v>
      </c>
      <c r="F61" s="81">
        <v>15</v>
      </c>
      <c r="G61" s="82" t="s">
        <v>13</v>
      </c>
      <c r="H61" s="81" t="s">
        <v>127</v>
      </c>
      <c r="I61" s="83" t="s">
        <v>88</v>
      </c>
      <c r="J61" s="115" t="s">
        <v>16</v>
      </c>
      <c r="K61" s="147" t="s">
        <v>405</v>
      </c>
      <c r="L61" s="147" t="s">
        <v>426</v>
      </c>
    </row>
    <row r="62" spans="2:12">
      <c r="B62" s="79">
        <v>55</v>
      </c>
      <c r="C62" s="80" t="s">
        <v>44</v>
      </c>
      <c r="D62" s="81">
        <f t="shared" si="0"/>
        <v>632</v>
      </c>
      <c r="E62" s="81">
        <f t="shared" si="2"/>
        <v>646</v>
      </c>
      <c r="F62" s="81">
        <v>15</v>
      </c>
      <c r="G62" s="82" t="s">
        <v>130</v>
      </c>
      <c r="H62" s="81" t="s">
        <v>14</v>
      </c>
      <c r="I62" s="83" t="s">
        <v>131</v>
      </c>
      <c r="J62" s="115" t="s">
        <v>132</v>
      </c>
      <c r="K62" s="147" t="s">
        <v>427</v>
      </c>
      <c r="L62" s="147" t="s">
        <v>428</v>
      </c>
    </row>
    <row r="63" spans="2:12" ht="23.5">
      <c r="B63" s="91">
        <v>56</v>
      </c>
      <c r="C63" s="80" t="s">
        <v>47</v>
      </c>
      <c r="D63" s="81">
        <f t="shared" si="0"/>
        <v>647</v>
      </c>
      <c r="E63" s="81">
        <f t="shared" si="2"/>
        <v>661</v>
      </c>
      <c r="F63" s="81">
        <v>15</v>
      </c>
      <c r="G63" s="82" t="s">
        <v>130</v>
      </c>
      <c r="H63" s="81" t="s">
        <v>14</v>
      </c>
      <c r="I63" s="90" t="s">
        <v>133</v>
      </c>
      <c r="J63" s="115" t="s">
        <v>132</v>
      </c>
      <c r="K63" s="147" t="s">
        <v>427</v>
      </c>
      <c r="L63" s="147" t="s">
        <v>428</v>
      </c>
    </row>
    <row r="64" spans="2:12">
      <c r="B64" s="79">
        <v>57</v>
      </c>
      <c r="C64" s="80" t="s">
        <v>134</v>
      </c>
      <c r="D64" s="81">
        <f t="shared" si="0"/>
        <v>662</v>
      </c>
      <c r="E64" s="81">
        <f t="shared" si="2"/>
        <v>671</v>
      </c>
      <c r="F64" s="81">
        <v>10</v>
      </c>
      <c r="G64" s="82" t="s">
        <v>13</v>
      </c>
      <c r="H64" s="81" t="s">
        <v>14</v>
      </c>
      <c r="I64" s="83" t="s">
        <v>135</v>
      </c>
      <c r="J64" s="115" t="s">
        <v>16</v>
      </c>
      <c r="K64" s="147" t="s">
        <v>429</v>
      </c>
      <c r="L64" s="147" t="s">
        <v>430</v>
      </c>
    </row>
    <row r="65" spans="2:12" ht="23.5">
      <c r="B65" s="91">
        <v>58</v>
      </c>
      <c r="C65" s="80" t="s">
        <v>136</v>
      </c>
      <c r="D65" s="81">
        <f t="shared" si="0"/>
        <v>672</v>
      </c>
      <c r="E65" s="81">
        <f t="shared" si="2"/>
        <v>685</v>
      </c>
      <c r="F65" s="81">
        <v>14</v>
      </c>
      <c r="G65" s="82" t="s">
        <v>85</v>
      </c>
      <c r="H65" s="81" t="s">
        <v>109</v>
      </c>
      <c r="I65" s="90" t="s">
        <v>137</v>
      </c>
      <c r="J65" s="115" t="s">
        <v>16</v>
      </c>
      <c r="K65" s="147" t="s">
        <v>419</v>
      </c>
      <c r="L65" s="147" t="s">
        <v>419</v>
      </c>
    </row>
    <row r="66" spans="2:12" ht="23.5">
      <c r="B66" s="91">
        <v>59</v>
      </c>
      <c r="C66" s="109" t="s">
        <v>138</v>
      </c>
      <c r="D66" s="110">
        <f t="shared" si="0"/>
        <v>686</v>
      </c>
      <c r="E66" s="110">
        <f t="shared" si="2"/>
        <v>699</v>
      </c>
      <c r="F66" s="110">
        <v>14</v>
      </c>
      <c r="G66" s="111" t="s">
        <v>85</v>
      </c>
      <c r="H66" s="110" t="s">
        <v>109</v>
      </c>
      <c r="I66" s="112" t="s">
        <v>139</v>
      </c>
      <c r="J66" s="115" t="s">
        <v>16</v>
      </c>
      <c r="K66" s="147" t="s">
        <v>419</v>
      </c>
      <c r="L66" s="147" t="s">
        <v>419</v>
      </c>
    </row>
    <row r="67" spans="2:12">
      <c r="B67" s="79">
        <v>60</v>
      </c>
      <c r="C67" s="80" t="s">
        <v>140</v>
      </c>
      <c r="D67" s="81">
        <f t="shared" si="0"/>
        <v>700</v>
      </c>
      <c r="E67" s="81">
        <f t="shared" si="2"/>
        <v>707</v>
      </c>
      <c r="F67" s="81">
        <v>8</v>
      </c>
      <c r="G67" s="82" t="s">
        <v>13</v>
      </c>
      <c r="H67" s="81" t="s">
        <v>109</v>
      </c>
      <c r="I67" s="83" t="s">
        <v>88</v>
      </c>
      <c r="J67" s="164" t="s">
        <v>16</v>
      </c>
      <c r="K67" s="147" t="s">
        <v>431</v>
      </c>
      <c r="L67" s="147" t="s">
        <v>432</v>
      </c>
    </row>
    <row r="68" spans="2:12">
      <c r="B68" s="159">
        <v>61</v>
      </c>
      <c r="C68" s="160" t="s">
        <v>141</v>
      </c>
      <c r="D68" s="161">
        <f t="shared" si="0"/>
        <v>708</v>
      </c>
      <c r="E68" s="161">
        <f t="shared" si="2"/>
        <v>710</v>
      </c>
      <c r="F68" s="161">
        <v>3</v>
      </c>
      <c r="G68" s="162" t="s">
        <v>13</v>
      </c>
      <c r="H68" s="161" t="s">
        <v>82</v>
      </c>
      <c r="I68" s="163" t="s">
        <v>91</v>
      </c>
      <c r="J68" s="165" t="s">
        <v>16</v>
      </c>
      <c r="K68" s="147" t="s">
        <v>413</v>
      </c>
      <c r="L68" s="147" t="s">
        <v>415</v>
      </c>
    </row>
    <row r="69" spans="2:12">
      <c r="B69" s="159">
        <v>62</v>
      </c>
      <c r="C69" s="160" t="s">
        <v>142</v>
      </c>
      <c r="D69" s="161">
        <f t="shared" si="0"/>
        <v>711</v>
      </c>
      <c r="E69" s="161">
        <f t="shared" si="2"/>
        <v>727</v>
      </c>
      <c r="F69" s="161">
        <v>17</v>
      </c>
      <c r="G69" s="162" t="s">
        <v>52</v>
      </c>
      <c r="H69" s="161" t="s">
        <v>82</v>
      </c>
      <c r="I69" s="163" t="s">
        <v>143</v>
      </c>
      <c r="J69" s="165" t="s">
        <v>16</v>
      </c>
      <c r="K69" s="147" t="s">
        <v>387</v>
      </c>
      <c r="L69" s="147" t="s">
        <v>387</v>
      </c>
    </row>
    <row r="70" spans="2:12">
      <c r="B70" s="114">
        <v>63</v>
      </c>
      <c r="C70" s="82" t="s">
        <v>144</v>
      </c>
      <c r="D70" s="81">
        <f t="shared" si="0"/>
        <v>728</v>
      </c>
      <c r="E70" s="81">
        <f t="shared" si="2"/>
        <v>797</v>
      </c>
      <c r="F70" s="81">
        <v>70</v>
      </c>
      <c r="G70" s="82" t="s">
        <v>13</v>
      </c>
      <c r="H70" s="81" t="s">
        <v>109</v>
      </c>
      <c r="I70" s="83" t="s">
        <v>145</v>
      </c>
      <c r="J70" s="115" t="s">
        <v>16</v>
      </c>
      <c r="K70" s="147" t="s">
        <v>433</v>
      </c>
      <c r="L70" s="147" t="s">
        <v>433</v>
      </c>
    </row>
    <row r="71" spans="2:12">
      <c r="B71" s="114">
        <v>64</v>
      </c>
      <c r="C71" s="82" t="s">
        <v>146</v>
      </c>
      <c r="D71" s="81">
        <f>+E69+1</f>
        <v>728</v>
      </c>
      <c r="E71" s="81">
        <f>+D71+F71-1</f>
        <v>736</v>
      </c>
      <c r="F71" s="81">
        <v>9</v>
      </c>
      <c r="G71" s="82" t="s">
        <v>13</v>
      </c>
      <c r="H71" s="81" t="s">
        <v>109</v>
      </c>
      <c r="I71" s="83" t="s">
        <v>147</v>
      </c>
      <c r="J71" s="115" t="s">
        <v>16</v>
      </c>
      <c r="K71" s="166" t="s">
        <v>434</v>
      </c>
      <c r="L71" s="166" t="s">
        <v>434</v>
      </c>
    </row>
    <row r="72" spans="2:12" ht="14.5" thickBot="1">
      <c r="B72" s="116">
        <v>65</v>
      </c>
      <c r="C72" s="117" t="s">
        <v>148</v>
      </c>
      <c r="D72" s="118">
        <f>+E70+1</f>
        <v>798</v>
      </c>
      <c r="E72" s="118">
        <f>+D72+F72-1</f>
        <v>817</v>
      </c>
      <c r="F72" s="118">
        <v>20</v>
      </c>
      <c r="G72" s="119" t="s">
        <v>13</v>
      </c>
      <c r="H72" s="118" t="s">
        <v>109</v>
      </c>
      <c r="I72" s="120" t="s">
        <v>149</v>
      </c>
      <c r="J72" s="115" t="s">
        <v>16</v>
      </c>
    </row>
    <row r="73" spans="2:12">
      <c r="B73" s="121"/>
      <c r="C73" s="122"/>
      <c r="D73" s="123"/>
      <c r="E73" s="123"/>
      <c r="F73" s="123"/>
      <c r="G73" s="122"/>
      <c r="H73" s="123"/>
      <c r="I73" s="122"/>
      <c r="J73" s="67"/>
    </row>
    <row r="74" spans="2:12">
      <c r="B74" s="124"/>
      <c r="C74" s="125" t="s">
        <v>150</v>
      </c>
      <c r="D74" s="126"/>
      <c r="E74" s="126"/>
      <c r="F74" s="126"/>
      <c r="G74" s="127"/>
      <c r="H74" s="126"/>
      <c r="I74" s="127"/>
      <c r="J74" s="128"/>
    </row>
    <row r="75" spans="2:12">
      <c r="B75" s="124"/>
      <c r="C75" s="129" t="s">
        <v>151</v>
      </c>
      <c r="D75" s="126"/>
      <c r="E75" s="126"/>
      <c r="F75" s="126"/>
      <c r="G75" s="127"/>
      <c r="H75" s="126"/>
      <c r="I75" s="127"/>
      <c r="J75" s="128"/>
    </row>
    <row r="76" spans="2:12">
      <c r="B76" s="124"/>
      <c r="C76" s="129" t="s">
        <v>152</v>
      </c>
      <c r="D76" s="126"/>
      <c r="E76" s="126"/>
      <c r="F76" s="126"/>
      <c r="G76" s="127"/>
      <c r="H76" s="126"/>
      <c r="I76" s="127"/>
      <c r="J76" s="128"/>
    </row>
    <row r="77" spans="2:12">
      <c r="B77" s="124"/>
      <c r="C77" s="129" t="s">
        <v>153</v>
      </c>
      <c r="D77" s="126"/>
      <c r="E77" s="126"/>
      <c r="F77" s="126"/>
      <c r="G77" s="127"/>
      <c r="H77" s="126"/>
      <c r="I77" s="127"/>
      <c r="J77" s="128"/>
    </row>
    <row r="78" spans="2:12" ht="27.75" customHeight="1">
      <c r="B78" s="124"/>
      <c r="C78" s="129"/>
      <c r="D78" s="126"/>
      <c r="E78" s="126"/>
      <c r="F78" s="126"/>
      <c r="G78" s="127"/>
      <c r="H78" s="126"/>
      <c r="I78" s="127"/>
      <c r="J78" s="128"/>
    </row>
    <row r="79" spans="2:12">
      <c r="B79" s="130"/>
      <c r="C79" s="199" t="s">
        <v>154</v>
      </c>
      <c r="D79" s="200"/>
      <c r="E79" s="200"/>
      <c r="F79" s="200"/>
      <c r="G79" s="200"/>
      <c r="H79" s="200"/>
      <c r="J79" s="128"/>
    </row>
    <row r="80" spans="2:12" ht="27.75" customHeight="1">
      <c r="B80" s="130"/>
      <c r="C80" s="125"/>
      <c r="J80" s="128"/>
    </row>
    <row r="81" spans="2:10">
      <c r="B81" s="130"/>
      <c r="C81" s="199" t="s">
        <v>155</v>
      </c>
      <c r="D81" s="200"/>
      <c r="E81" s="200"/>
      <c r="F81" s="200"/>
      <c r="G81" s="200"/>
      <c r="H81" s="200"/>
      <c r="J81" s="128"/>
    </row>
    <row r="82" spans="2:10" ht="14.5" thickBot="1">
      <c r="B82" s="68"/>
      <c r="C82" s="131"/>
      <c r="D82" s="131"/>
      <c r="E82" s="131"/>
      <c r="F82" s="131"/>
      <c r="G82" s="131"/>
      <c r="H82" s="131"/>
      <c r="I82" s="131"/>
      <c r="J82" s="72"/>
    </row>
  </sheetData>
  <mergeCells count="3">
    <mergeCell ref="K6:L7"/>
    <mergeCell ref="C79:H79"/>
    <mergeCell ref="C81:H81"/>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0DC25-3261-4D2C-9A99-DE0B9D691FFB}">
  <dimension ref="B1:M82"/>
  <sheetViews>
    <sheetView topLeftCell="I7" workbookViewId="0">
      <selection activeCell="I7" sqref="I7"/>
    </sheetView>
  </sheetViews>
  <sheetFormatPr defaultColWidth="12.453125" defaultRowHeight="14"/>
  <cols>
    <col min="1" max="2" width="3.81640625" style="59" customWidth="1"/>
    <col min="3" max="3" width="37.7265625" style="59" bestFit="1" customWidth="1"/>
    <col min="4" max="4" width="6.54296875" style="59" bestFit="1" customWidth="1"/>
    <col min="5" max="5" width="5.54296875" style="59" bestFit="1" customWidth="1"/>
    <col min="6" max="6" width="5.81640625" style="59" bestFit="1" customWidth="1"/>
    <col min="7" max="7" width="12.1796875" style="59" bestFit="1" customWidth="1"/>
    <col min="8" max="8" width="9.81640625" style="59" bestFit="1" customWidth="1"/>
    <col min="9" max="9" width="73.1796875" style="59" customWidth="1"/>
    <col min="10" max="10" width="5.453125" style="61" bestFit="1" customWidth="1"/>
    <col min="11" max="11" width="14.1796875" style="59" customWidth="1"/>
    <col min="12" max="256" width="12.453125" style="59"/>
    <col min="257" max="258" width="3.81640625" style="59" customWidth="1"/>
    <col min="259" max="259" width="37.7265625" style="59" bestFit="1" customWidth="1"/>
    <col min="260" max="260" width="6.54296875" style="59" bestFit="1" customWidth="1"/>
    <col min="261" max="261" width="5.54296875" style="59" bestFit="1" customWidth="1"/>
    <col min="262" max="262" width="5.81640625" style="59" bestFit="1" customWidth="1"/>
    <col min="263" max="263" width="12.1796875" style="59" bestFit="1" customWidth="1"/>
    <col min="264" max="264" width="9.81640625" style="59" bestFit="1" customWidth="1"/>
    <col min="265" max="265" width="73.1796875" style="59" customWidth="1"/>
    <col min="266" max="266" width="5.453125" style="59" bestFit="1" customWidth="1"/>
    <col min="267" max="267" width="14.1796875" style="59" customWidth="1"/>
    <col min="268" max="512" width="12.453125" style="59"/>
    <col min="513" max="514" width="3.81640625" style="59" customWidth="1"/>
    <col min="515" max="515" width="37.7265625" style="59" bestFit="1" customWidth="1"/>
    <col min="516" max="516" width="6.54296875" style="59" bestFit="1" customWidth="1"/>
    <col min="517" max="517" width="5.54296875" style="59" bestFit="1" customWidth="1"/>
    <col min="518" max="518" width="5.81640625" style="59" bestFit="1" customWidth="1"/>
    <col min="519" max="519" width="12.1796875" style="59" bestFit="1" customWidth="1"/>
    <col min="520" max="520" width="9.81640625" style="59" bestFit="1" customWidth="1"/>
    <col min="521" max="521" width="73.1796875" style="59" customWidth="1"/>
    <col min="522" max="522" width="5.453125" style="59" bestFit="1" customWidth="1"/>
    <col min="523" max="523" width="14.1796875" style="59" customWidth="1"/>
    <col min="524" max="768" width="12.453125" style="59"/>
    <col min="769" max="770" width="3.81640625" style="59" customWidth="1"/>
    <col min="771" max="771" width="37.7265625" style="59" bestFit="1" customWidth="1"/>
    <col min="772" max="772" width="6.54296875" style="59" bestFit="1" customWidth="1"/>
    <col min="773" max="773" width="5.54296875" style="59" bestFit="1" customWidth="1"/>
    <col min="774" max="774" width="5.81640625" style="59" bestFit="1" customWidth="1"/>
    <col min="775" max="775" width="12.1796875" style="59" bestFit="1" customWidth="1"/>
    <col min="776" max="776" width="9.81640625" style="59" bestFit="1" customWidth="1"/>
    <col min="777" max="777" width="73.1796875" style="59" customWidth="1"/>
    <col min="778" max="778" width="5.453125" style="59" bestFit="1" customWidth="1"/>
    <col min="779" max="779" width="14.1796875" style="59" customWidth="1"/>
    <col min="780" max="1024" width="12.453125" style="59"/>
    <col min="1025" max="1026" width="3.81640625" style="59" customWidth="1"/>
    <col min="1027" max="1027" width="37.7265625" style="59" bestFit="1" customWidth="1"/>
    <col min="1028" max="1028" width="6.54296875" style="59" bestFit="1" customWidth="1"/>
    <col min="1029" max="1029" width="5.54296875" style="59" bestFit="1" customWidth="1"/>
    <col min="1030" max="1030" width="5.81640625" style="59" bestFit="1" customWidth="1"/>
    <col min="1031" max="1031" width="12.1796875" style="59" bestFit="1" customWidth="1"/>
    <col min="1032" max="1032" width="9.81640625" style="59" bestFit="1" customWidth="1"/>
    <col min="1033" max="1033" width="73.1796875" style="59" customWidth="1"/>
    <col min="1034" max="1034" width="5.453125" style="59" bestFit="1" customWidth="1"/>
    <col min="1035" max="1035" width="14.1796875" style="59" customWidth="1"/>
    <col min="1036" max="1280" width="12.453125" style="59"/>
    <col min="1281" max="1282" width="3.81640625" style="59" customWidth="1"/>
    <col min="1283" max="1283" width="37.7265625" style="59" bestFit="1" customWidth="1"/>
    <col min="1284" max="1284" width="6.54296875" style="59" bestFit="1" customWidth="1"/>
    <col min="1285" max="1285" width="5.54296875" style="59" bestFit="1" customWidth="1"/>
    <col min="1286" max="1286" width="5.81640625" style="59" bestFit="1" customWidth="1"/>
    <col min="1287" max="1287" width="12.1796875" style="59" bestFit="1" customWidth="1"/>
    <col min="1288" max="1288" width="9.81640625" style="59" bestFit="1" customWidth="1"/>
    <col min="1289" max="1289" width="73.1796875" style="59" customWidth="1"/>
    <col min="1290" max="1290" width="5.453125" style="59" bestFit="1" customWidth="1"/>
    <col min="1291" max="1291" width="14.1796875" style="59" customWidth="1"/>
    <col min="1292" max="1536" width="12.453125" style="59"/>
    <col min="1537" max="1538" width="3.81640625" style="59" customWidth="1"/>
    <col min="1539" max="1539" width="37.7265625" style="59" bestFit="1" customWidth="1"/>
    <col min="1540" max="1540" width="6.54296875" style="59" bestFit="1" customWidth="1"/>
    <col min="1541" max="1541" width="5.54296875" style="59" bestFit="1" customWidth="1"/>
    <col min="1542" max="1542" width="5.81640625" style="59" bestFit="1" customWidth="1"/>
    <col min="1543" max="1543" width="12.1796875" style="59" bestFit="1" customWidth="1"/>
    <col min="1544" max="1544" width="9.81640625" style="59" bestFit="1" customWidth="1"/>
    <col min="1545" max="1545" width="73.1796875" style="59" customWidth="1"/>
    <col min="1546" max="1546" width="5.453125" style="59" bestFit="1" customWidth="1"/>
    <col min="1547" max="1547" width="14.1796875" style="59" customWidth="1"/>
    <col min="1548" max="1792" width="12.453125" style="59"/>
    <col min="1793" max="1794" width="3.81640625" style="59" customWidth="1"/>
    <col min="1795" max="1795" width="37.7265625" style="59" bestFit="1" customWidth="1"/>
    <col min="1796" max="1796" width="6.54296875" style="59" bestFit="1" customWidth="1"/>
    <col min="1797" max="1797" width="5.54296875" style="59" bestFit="1" customWidth="1"/>
    <col min="1798" max="1798" width="5.81640625" style="59" bestFit="1" customWidth="1"/>
    <col min="1799" max="1799" width="12.1796875" style="59" bestFit="1" customWidth="1"/>
    <col min="1800" max="1800" width="9.81640625" style="59" bestFit="1" customWidth="1"/>
    <col min="1801" max="1801" width="73.1796875" style="59" customWidth="1"/>
    <col min="1802" max="1802" width="5.453125" style="59" bestFit="1" customWidth="1"/>
    <col min="1803" max="1803" width="14.1796875" style="59" customWidth="1"/>
    <col min="1804" max="2048" width="12.453125" style="59"/>
    <col min="2049" max="2050" width="3.81640625" style="59" customWidth="1"/>
    <col min="2051" max="2051" width="37.7265625" style="59" bestFit="1" customWidth="1"/>
    <col min="2052" max="2052" width="6.54296875" style="59" bestFit="1" customWidth="1"/>
    <col min="2053" max="2053" width="5.54296875" style="59" bestFit="1" customWidth="1"/>
    <col min="2054" max="2054" width="5.81640625" style="59" bestFit="1" customWidth="1"/>
    <col min="2055" max="2055" width="12.1796875" style="59" bestFit="1" customWidth="1"/>
    <col min="2056" max="2056" width="9.81640625" style="59" bestFit="1" customWidth="1"/>
    <col min="2057" max="2057" width="73.1796875" style="59" customWidth="1"/>
    <col min="2058" max="2058" width="5.453125" style="59" bestFit="1" customWidth="1"/>
    <col min="2059" max="2059" width="14.1796875" style="59" customWidth="1"/>
    <col min="2060" max="2304" width="12.453125" style="59"/>
    <col min="2305" max="2306" width="3.81640625" style="59" customWidth="1"/>
    <col min="2307" max="2307" width="37.7265625" style="59" bestFit="1" customWidth="1"/>
    <col min="2308" max="2308" width="6.54296875" style="59" bestFit="1" customWidth="1"/>
    <col min="2309" max="2309" width="5.54296875" style="59" bestFit="1" customWidth="1"/>
    <col min="2310" max="2310" width="5.81640625" style="59" bestFit="1" customWidth="1"/>
    <col min="2311" max="2311" width="12.1796875" style="59" bestFit="1" customWidth="1"/>
    <col min="2312" max="2312" width="9.81640625" style="59" bestFit="1" customWidth="1"/>
    <col min="2313" max="2313" width="73.1796875" style="59" customWidth="1"/>
    <col min="2314" max="2314" width="5.453125" style="59" bestFit="1" customWidth="1"/>
    <col min="2315" max="2315" width="14.1796875" style="59" customWidth="1"/>
    <col min="2316" max="2560" width="12.453125" style="59"/>
    <col min="2561" max="2562" width="3.81640625" style="59" customWidth="1"/>
    <col min="2563" max="2563" width="37.7265625" style="59" bestFit="1" customWidth="1"/>
    <col min="2564" max="2564" width="6.54296875" style="59" bestFit="1" customWidth="1"/>
    <col min="2565" max="2565" width="5.54296875" style="59" bestFit="1" customWidth="1"/>
    <col min="2566" max="2566" width="5.81640625" style="59" bestFit="1" customWidth="1"/>
    <col min="2567" max="2567" width="12.1796875" style="59" bestFit="1" customWidth="1"/>
    <col min="2568" max="2568" width="9.81640625" style="59" bestFit="1" customWidth="1"/>
    <col min="2569" max="2569" width="73.1796875" style="59" customWidth="1"/>
    <col min="2570" max="2570" width="5.453125" style="59" bestFit="1" customWidth="1"/>
    <col min="2571" max="2571" width="14.1796875" style="59" customWidth="1"/>
    <col min="2572" max="2816" width="12.453125" style="59"/>
    <col min="2817" max="2818" width="3.81640625" style="59" customWidth="1"/>
    <col min="2819" max="2819" width="37.7265625" style="59" bestFit="1" customWidth="1"/>
    <col min="2820" max="2820" width="6.54296875" style="59" bestFit="1" customWidth="1"/>
    <col min="2821" max="2821" width="5.54296875" style="59" bestFit="1" customWidth="1"/>
    <col min="2822" max="2822" width="5.81640625" style="59" bestFit="1" customWidth="1"/>
    <col min="2823" max="2823" width="12.1796875" style="59" bestFit="1" customWidth="1"/>
    <col min="2824" max="2824" width="9.81640625" style="59" bestFit="1" customWidth="1"/>
    <col min="2825" max="2825" width="73.1796875" style="59" customWidth="1"/>
    <col min="2826" max="2826" width="5.453125" style="59" bestFit="1" customWidth="1"/>
    <col min="2827" max="2827" width="14.1796875" style="59" customWidth="1"/>
    <col min="2828" max="3072" width="12.453125" style="59"/>
    <col min="3073" max="3074" width="3.81640625" style="59" customWidth="1"/>
    <col min="3075" max="3075" width="37.7265625" style="59" bestFit="1" customWidth="1"/>
    <col min="3076" max="3076" width="6.54296875" style="59" bestFit="1" customWidth="1"/>
    <col min="3077" max="3077" width="5.54296875" style="59" bestFit="1" customWidth="1"/>
    <col min="3078" max="3078" width="5.81640625" style="59" bestFit="1" customWidth="1"/>
    <col min="3079" max="3079" width="12.1796875" style="59" bestFit="1" customWidth="1"/>
    <col min="3080" max="3080" width="9.81640625" style="59" bestFit="1" customWidth="1"/>
    <col min="3081" max="3081" width="73.1796875" style="59" customWidth="1"/>
    <col min="3082" max="3082" width="5.453125" style="59" bestFit="1" customWidth="1"/>
    <col min="3083" max="3083" width="14.1796875" style="59" customWidth="1"/>
    <col min="3084" max="3328" width="12.453125" style="59"/>
    <col min="3329" max="3330" width="3.81640625" style="59" customWidth="1"/>
    <col min="3331" max="3331" width="37.7265625" style="59" bestFit="1" customWidth="1"/>
    <col min="3332" max="3332" width="6.54296875" style="59" bestFit="1" customWidth="1"/>
    <col min="3333" max="3333" width="5.54296875" style="59" bestFit="1" customWidth="1"/>
    <col min="3334" max="3334" width="5.81640625" style="59" bestFit="1" customWidth="1"/>
    <col min="3335" max="3335" width="12.1796875" style="59" bestFit="1" customWidth="1"/>
    <col min="3336" max="3336" width="9.81640625" style="59" bestFit="1" customWidth="1"/>
    <col min="3337" max="3337" width="73.1796875" style="59" customWidth="1"/>
    <col min="3338" max="3338" width="5.453125" style="59" bestFit="1" customWidth="1"/>
    <col min="3339" max="3339" width="14.1796875" style="59" customWidth="1"/>
    <col min="3340" max="3584" width="12.453125" style="59"/>
    <col min="3585" max="3586" width="3.81640625" style="59" customWidth="1"/>
    <col min="3587" max="3587" width="37.7265625" style="59" bestFit="1" customWidth="1"/>
    <col min="3588" max="3588" width="6.54296875" style="59" bestFit="1" customWidth="1"/>
    <col min="3589" max="3589" width="5.54296875" style="59" bestFit="1" customWidth="1"/>
    <col min="3590" max="3590" width="5.81640625" style="59" bestFit="1" customWidth="1"/>
    <col min="3591" max="3591" width="12.1796875" style="59" bestFit="1" customWidth="1"/>
    <col min="3592" max="3592" width="9.81640625" style="59" bestFit="1" customWidth="1"/>
    <col min="3593" max="3593" width="73.1796875" style="59" customWidth="1"/>
    <col min="3594" max="3594" width="5.453125" style="59" bestFit="1" customWidth="1"/>
    <col min="3595" max="3595" width="14.1796875" style="59" customWidth="1"/>
    <col min="3596" max="3840" width="12.453125" style="59"/>
    <col min="3841" max="3842" width="3.81640625" style="59" customWidth="1"/>
    <col min="3843" max="3843" width="37.7265625" style="59" bestFit="1" customWidth="1"/>
    <col min="3844" max="3844" width="6.54296875" style="59" bestFit="1" customWidth="1"/>
    <col min="3845" max="3845" width="5.54296875" style="59" bestFit="1" customWidth="1"/>
    <col min="3846" max="3846" width="5.81640625" style="59" bestFit="1" customWidth="1"/>
    <col min="3847" max="3847" width="12.1796875" style="59" bestFit="1" customWidth="1"/>
    <col min="3848" max="3848" width="9.81640625" style="59" bestFit="1" customWidth="1"/>
    <col min="3849" max="3849" width="73.1796875" style="59" customWidth="1"/>
    <col min="3850" max="3850" width="5.453125" style="59" bestFit="1" customWidth="1"/>
    <col min="3851" max="3851" width="14.1796875" style="59" customWidth="1"/>
    <col min="3852" max="4096" width="12.453125" style="59"/>
    <col min="4097" max="4098" width="3.81640625" style="59" customWidth="1"/>
    <col min="4099" max="4099" width="37.7265625" style="59" bestFit="1" customWidth="1"/>
    <col min="4100" max="4100" width="6.54296875" style="59" bestFit="1" customWidth="1"/>
    <col min="4101" max="4101" width="5.54296875" style="59" bestFit="1" customWidth="1"/>
    <col min="4102" max="4102" width="5.81640625" style="59" bestFit="1" customWidth="1"/>
    <col min="4103" max="4103" width="12.1796875" style="59" bestFit="1" customWidth="1"/>
    <col min="4104" max="4104" width="9.81640625" style="59" bestFit="1" customWidth="1"/>
    <col min="4105" max="4105" width="73.1796875" style="59" customWidth="1"/>
    <col min="4106" max="4106" width="5.453125" style="59" bestFit="1" customWidth="1"/>
    <col min="4107" max="4107" width="14.1796875" style="59" customWidth="1"/>
    <col min="4108" max="4352" width="12.453125" style="59"/>
    <col min="4353" max="4354" width="3.81640625" style="59" customWidth="1"/>
    <col min="4355" max="4355" width="37.7265625" style="59" bestFit="1" customWidth="1"/>
    <col min="4356" max="4356" width="6.54296875" style="59" bestFit="1" customWidth="1"/>
    <col min="4357" max="4357" width="5.54296875" style="59" bestFit="1" customWidth="1"/>
    <col min="4358" max="4358" width="5.81640625" style="59" bestFit="1" customWidth="1"/>
    <col min="4359" max="4359" width="12.1796875" style="59" bestFit="1" customWidth="1"/>
    <col min="4360" max="4360" width="9.81640625" style="59" bestFit="1" customWidth="1"/>
    <col min="4361" max="4361" width="73.1796875" style="59" customWidth="1"/>
    <col min="4362" max="4362" width="5.453125" style="59" bestFit="1" customWidth="1"/>
    <col min="4363" max="4363" width="14.1796875" style="59" customWidth="1"/>
    <col min="4364" max="4608" width="12.453125" style="59"/>
    <col min="4609" max="4610" width="3.81640625" style="59" customWidth="1"/>
    <col min="4611" max="4611" width="37.7265625" style="59" bestFit="1" customWidth="1"/>
    <col min="4612" max="4612" width="6.54296875" style="59" bestFit="1" customWidth="1"/>
    <col min="4613" max="4613" width="5.54296875" style="59" bestFit="1" customWidth="1"/>
    <col min="4614" max="4614" width="5.81640625" style="59" bestFit="1" customWidth="1"/>
    <col min="4615" max="4615" width="12.1796875" style="59" bestFit="1" customWidth="1"/>
    <col min="4616" max="4616" width="9.81640625" style="59" bestFit="1" customWidth="1"/>
    <col min="4617" max="4617" width="73.1796875" style="59" customWidth="1"/>
    <col min="4618" max="4618" width="5.453125" style="59" bestFit="1" customWidth="1"/>
    <col min="4619" max="4619" width="14.1796875" style="59" customWidth="1"/>
    <col min="4620" max="4864" width="12.453125" style="59"/>
    <col min="4865" max="4866" width="3.81640625" style="59" customWidth="1"/>
    <col min="4867" max="4867" width="37.7265625" style="59" bestFit="1" customWidth="1"/>
    <col min="4868" max="4868" width="6.54296875" style="59" bestFit="1" customWidth="1"/>
    <col min="4869" max="4869" width="5.54296875" style="59" bestFit="1" customWidth="1"/>
    <col min="4870" max="4870" width="5.81640625" style="59" bestFit="1" customWidth="1"/>
    <col min="4871" max="4871" width="12.1796875" style="59" bestFit="1" customWidth="1"/>
    <col min="4872" max="4872" width="9.81640625" style="59" bestFit="1" customWidth="1"/>
    <col min="4873" max="4873" width="73.1796875" style="59" customWidth="1"/>
    <col min="4874" max="4874" width="5.453125" style="59" bestFit="1" customWidth="1"/>
    <col min="4875" max="4875" width="14.1796875" style="59" customWidth="1"/>
    <col min="4876" max="5120" width="12.453125" style="59"/>
    <col min="5121" max="5122" width="3.81640625" style="59" customWidth="1"/>
    <col min="5123" max="5123" width="37.7265625" style="59" bestFit="1" customWidth="1"/>
    <col min="5124" max="5124" width="6.54296875" style="59" bestFit="1" customWidth="1"/>
    <col min="5125" max="5125" width="5.54296875" style="59" bestFit="1" customWidth="1"/>
    <col min="5126" max="5126" width="5.81640625" style="59" bestFit="1" customWidth="1"/>
    <col min="5127" max="5127" width="12.1796875" style="59" bestFit="1" customWidth="1"/>
    <col min="5128" max="5128" width="9.81640625" style="59" bestFit="1" customWidth="1"/>
    <col min="5129" max="5129" width="73.1796875" style="59" customWidth="1"/>
    <col min="5130" max="5130" width="5.453125" style="59" bestFit="1" customWidth="1"/>
    <col min="5131" max="5131" width="14.1796875" style="59" customWidth="1"/>
    <col min="5132" max="5376" width="12.453125" style="59"/>
    <col min="5377" max="5378" width="3.81640625" style="59" customWidth="1"/>
    <col min="5379" max="5379" width="37.7265625" style="59" bestFit="1" customWidth="1"/>
    <col min="5380" max="5380" width="6.54296875" style="59" bestFit="1" customWidth="1"/>
    <col min="5381" max="5381" width="5.54296875" style="59" bestFit="1" customWidth="1"/>
    <col min="5382" max="5382" width="5.81640625" style="59" bestFit="1" customWidth="1"/>
    <col min="5383" max="5383" width="12.1796875" style="59" bestFit="1" customWidth="1"/>
    <col min="5384" max="5384" width="9.81640625" style="59" bestFit="1" customWidth="1"/>
    <col min="5385" max="5385" width="73.1796875" style="59" customWidth="1"/>
    <col min="5386" max="5386" width="5.453125" style="59" bestFit="1" customWidth="1"/>
    <col min="5387" max="5387" width="14.1796875" style="59" customWidth="1"/>
    <col min="5388" max="5632" width="12.453125" style="59"/>
    <col min="5633" max="5634" width="3.81640625" style="59" customWidth="1"/>
    <col min="5635" max="5635" width="37.7265625" style="59" bestFit="1" customWidth="1"/>
    <col min="5636" max="5636" width="6.54296875" style="59" bestFit="1" customWidth="1"/>
    <col min="5637" max="5637" width="5.54296875" style="59" bestFit="1" customWidth="1"/>
    <col min="5638" max="5638" width="5.81640625" style="59" bestFit="1" customWidth="1"/>
    <col min="5639" max="5639" width="12.1796875" style="59" bestFit="1" customWidth="1"/>
    <col min="5640" max="5640" width="9.81640625" style="59" bestFit="1" customWidth="1"/>
    <col min="5641" max="5641" width="73.1796875" style="59" customWidth="1"/>
    <col min="5642" max="5642" width="5.453125" style="59" bestFit="1" customWidth="1"/>
    <col min="5643" max="5643" width="14.1796875" style="59" customWidth="1"/>
    <col min="5644" max="5888" width="12.453125" style="59"/>
    <col min="5889" max="5890" width="3.81640625" style="59" customWidth="1"/>
    <col min="5891" max="5891" width="37.7265625" style="59" bestFit="1" customWidth="1"/>
    <col min="5892" max="5892" width="6.54296875" style="59" bestFit="1" customWidth="1"/>
    <col min="5893" max="5893" width="5.54296875" style="59" bestFit="1" customWidth="1"/>
    <col min="5894" max="5894" width="5.81640625" style="59" bestFit="1" customWidth="1"/>
    <col min="5895" max="5895" width="12.1796875" style="59" bestFit="1" customWidth="1"/>
    <col min="5896" max="5896" width="9.81640625" style="59" bestFit="1" customWidth="1"/>
    <col min="5897" max="5897" width="73.1796875" style="59" customWidth="1"/>
    <col min="5898" max="5898" width="5.453125" style="59" bestFit="1" customWidth="1"/>
    <col min="5899" max="5899" width="14.1796875" style="59" customWidth="1"/>
    <col min="5900" max="6144" width="12.453125" style="59"/>
    <col min="6145" max="6146" width="3.81640625" style="59" customWidth="1"/>
    <col min="6147" max="6147" width="37.7265625" style="59" bestFit="1" customWidth="1"/>
    <col min="6148" max="6148" width="6.54296875" style="59" bestFit="1" customWidth="1"/>
    <col min="6149" max="6149" width="5.54296875" style="59" bestFit="1" customWidth="1"/>
    <col min="6150" max="6150" width="5.81640625" style="59" bestFit="1" customWidth="1"/>
    <col min="6151" max="6151" width="12.1796875" style="59" bestFit="1" customWidth="1"/>
    <col min="6152" max="6152" width="9.81640625" style="59" bestFit="1" customWidth="1"/>
    <col min="6153" max="6153" width="73.1796875" style="59" customWidth="1"/>
    <col min="6154" max="6154" width="5.453125" style="59" bestFit="1" customWidth="1"/>
    <col min="6155" max="6155" width="14.1796875" style="59" customWidth="1"/>
    <col min="6156" max="6400" width="12.453125" style="59"/>
    <col min="6401" max="6402" width="3.81640625" style="59" customWidth="1"/>
    <col min="6403" max="6403" width="37.7265625" style="59" bestFit="1" customWidth="1"/>
    <col min="6404" max="6404" width="6.54296875" style="59" bestFit="1" customWidth="1"/>
    <col min="6405" max="6405" width="5.54296875" style="59" bestFit="1" customWidth="1"/>
    <col min="6406" max="6406" width="5.81640625" style="59" bestFit="1" customWidth="1"/>
    <col min="6407" max="6407" width="12.1796875" style="59" bestFit="1" customWidth="1"/>
    <col min="6408" max="6408" width="9.81640625" style="59" bestFit="1" customWidth="1"/>
    <col min="6409" max="6409" width="73.1796875" style="59" customWidth="1"/>
    <col min="6410" max="6410" width="5.453125" style="59" bestFit="1" customWidth="1"/>
    <col min="6411" max="6411" width="14.1796875" style="59" customWidth="1"/>
    <col min="6412" max="6656" width="12.453125" style="59"/>
    <col min="6657" max="6658" width="3.81640625" style="59" customWidth="1"/>
    <col min="6659" max="6659" width="37.7265625" style="59" bestFit="1" customWidth="1"/>
    <col min="6660" max="6660" width="6.54296875" style="59" bestFit="1" customWidth="1"/>
    <col min="6661" max="6661" width="5.54296875" style="59" bestFit="1" customWidth="1"/>
    <col min="6662" max="6662" width="5.81640625" style="59" bestFit="1" customWidth="1"/>
    <col min="6663" max="6663" width="12.1796875" style="59" bestFit="1" customWidth="1"/>
    <col min="6664" max="6664" width="9.81640625" style="59" bestFit="1" customWidth="1"/>
    <col min="6665" max="6665" width="73.1796875" style="59" customWidth="1"/>
    <col min="6666" max="6666" width="5.453125" style="59" bestFit="1" customWidth="1"/>
    <col min="6667" max="6667" width="14.1796875" style="59" customWidth="1"/>
    <col min="6668" max="6912" width="12.453125" style="59"/>
    <col min="6913" max="6914" width="3.81640625" style="59" customWidth="1"/>
    <col min="6915" max="6915" width="37.7265625" style="59" bestFit="1" customWidth="1"/>
    <col min="6916" max="6916" width="6.54296875" style="59" bestFit="1" customWidth="1"/>
    <col min="6917" max="6917" width="5.54296875" style="59" bestFit="1" customWidth="1"/>
    <col min="6918" max="6918" width="5.81640625" style="59" bestFit="1" customWidth="1"/>
    <col min="6919" max="6919" width="12.1796875" style="59" bestFit="1" customWidth="1"/>
    <col min="6920" max="6920" width="9.81640625" style="59" bestFit="1" customWidth="1"/>
    <col min="6921" max="6921" width="73.1796875" style="59" customWidth="1"/>
    <col min="6922" max="6922" width="5.453125" style="59" bestFit="1" customWidth="1"/>
    <col min="6923" max="6923" width="14.1796875" style="59" customWidth="1"/>
    <col min="6924" max="7168" width="12.453125" style="59"/>
    <col min="7169" max="7170" width="3.81640625" style="59" customWidth="1"/>
    <col min="7171" max="7171" width="37.7265625" style="59" bestFit="1" customWidth="1"/>
    <col min="7172" max="7172" width="6.54296875" style="59" bestFit="1" customWidth="1"/>
    <col min="7173" max="7173" width="5.54296875" style="59" bestFit="1" customWidth="1"/>
    <col min="7174" max="7174" width="5.81640625" style="59" bestFit="1" customWidth="1"/>
    <col min="7175" max="7175" width="12.1796875" style="59" bestFit="1" customWidth="1"/>
    <col min="7176" max="7176" width="9.81640625" style="59" bestFit="1" customWidth="1"/>
    <col min="7177" max="7177" width="73.1796875" style="59" customWidth="1"/>
    <col min="7178" max="7178" width="5.453125" style="59" bestFit="1" customWidth="1"/>
    <col min="7179" max="7179" width="14.1796875" style="59" customWidth="1"/>
    <col min="7180" max="7424" width="12.453125" style="59"/>
    <col min="7425" max="7426" width="3.81640625" style="59" customWidth="1"/>
    <col min="7427" max="7427" width="37.7265625" style="59" bestFit="1" customWidth="1"/>
    <col min="7428" max="7428" width="6.54296875" style="59" bestFit="1" customWidth="1"/>
    <col min="7429" max="7429" width="5.54296875" style="59" bestFit="1" customWidth="1"/>
    <col min="7430" max="7430" width="5.81640625" style="59" bestFit="1" customWidth="1"/>
    <col min="7431" max="7431" width="12.1796875" style="59" bestFit="1" customWidth="1"/>
    <col min="7432" max="7432" width="9.81640625" style="59" bestFit="1" customWidth="1"/>
    <col min="7433" max="7433" width="73.1796875" style="59" customWidth="1"/>
    <col min="7434" max="7434" width="5.453125" style="59" bestFit="1" customWidth="1"/>
    <col min="7435" max="7435" width="14.1796875" style="59" customWidth="1"/>
    <col min="7436" max="7680" width="12.453125" style="59"/>
    <col min="7681" max="7682" width="3.81640625" style="59" customWidth="1"/>
    <col min="7683" max="7683" width="37.7265625" style="59" bestFit="1" customWidth="1"/>
    <col min="7684" max="7684" width="6.54296875" style="59" bestFit="1" customWidth="1"/>
    <col min="7685" max="7685" width="5.54296875" style="59" bestFit="1" customWidth="1"/>
    <col min="7686" max="7686" width="5.81640625" style="59" bestFit="1" customWidth="1"/>
    <col min="7687" max="7687" width="12.1796875" style="59" bestFit="1" customWidth="1"/>
    <col min="7688" max="7688" width="9.81640625" style="59" bestFit="1" customWidth="1"/>
    <col min="7689" max="7689" width="73.1796875" style="59" customWidth="1"/>
    <col min="7690" max="7690" width="5.453125" style="59" bestFit="1" customWidth="1"/>
    <col min="7691" max="7691" width="14.1796875" style="59" customWidth="1"/>
    <col min="7692" max="7936" width="12.453125" style="59"/>
    <col min="7937" max="7938" width="3.81640625" style="59" customWidth="1"/>
    <col min="7939" max="7939" width="37.7265625" style="59" bestFit="1" customWidth="1"/>
    <col min="7940" max="7940" width="6.54296875" style="59" bestFit="1" customWidth="1"/>
    <col min="7941" max="7941" width="5.54296875" style="59" bestFit="1" customWidth="1"/>
    <col min="7942" max="7942" width="5.81640625" style="59" bestFit="1" customWidth="1"/>
    <col min="7943" max="7943" width="12.1796875" style="59" bestFit="1" customWidth="1"/>
    <col min="7944" max="7944" width="9.81640625" style="59" bestFit="1" customWidth="1"/>
    <col min="7945" max="7945" width="73.1796875" style="59" customWidth="1"/>
    <col min="7946" max="7946" width="5.453125" style="59" bestFit="1" customWidth="1"/>
    <col min="7947" max="7947" width="14.1796875" style="59" customWidth="1"/>
    <col min="7948" max="8192" width="12.453125" style="59"/>
    <col min="8193" max="8194" width="3.81640625" style="59" customWidth="1"/>
    <col min="8195" max="8195" width="37.7265625" style="59" bestFit="1" customWidth="1"/>
    <col min="8196" max="8196" width="6.54296875" style="59" bestFit="1" customWidth="1"/>
    <col min="8197" max="8197" width="5.54296875" style="59" bestFit="1" customWidth="1"/>
    <col min="8198" max="8198" width="5.81640625" style="59" bestFit="1" customWidth="1"/>
    <col min="8199" max="8199" width="12.1796875" style="59" bestFit="1" customWidth="1"/>
    <col min="8200" max="8200" width="9.81640625" style="59" bestFit="1" customWidth="1"/>
    <col min="8201" max="8201" width="73.1796875" style="59" customWidth="1"/>
    <col min="8202" max="8202" width="5.453125" style="59" bestFit="1" customWidth="1"/>
    <col min="8203" max="8203" width="14.1796875" style="59" customWidth="1"/>
    <col min="8204" max="8448" width="12.453125" style="59"/>
    <col min="8449" max="8450" width="3.81640625" style="59" customWidth="1"/>
    <col min="8451" max="8451" width="37.7265625" style="59" bestFit="1" customWidth="1"/>
    <col min="8452" max="8452" width="6.54296875" style="59" bestFit="1" customWidth="1"/>
    <col min="8453" max="8453" width="5.54296875" style="59" bestFit="1" customWidth="1"/>
    <col min="8454" max="8454" width="5.81640625" style="59" bestFit="1" customWidth="1"/>
    <col min="8455" max="8455" width="12.1796875" style="59" bestFit="1" customWidth="1"/>
    <col min="8456" max="8456" width="9.81640625" style="59" bestFit="1" customWidth="1"/>
    <col min="8457" max="8457" width="73.1796875" style="59" customWidth="1"/>
    <col min="8458" max="8458" width="5.453125" style="59" bestFit="1" customWidth="1"/>
    <col min="8459" max="8459" width="14.1796875" style="59" customWidth="1"/>
    <col min="8460" max="8704" width="12.453125" style="59"/>
    <col min="8705" max="8706" width="3.81640625" style="59" customWidth="1"/>
    <col min="8707" max="8707" width="37.7265625" style="59" bestFit="1" customWidth="1"/>
    <col min="8708" max="8708" width="6.54296875" style="59" bestFit="1" customWidth="1"/>
    <col min="8709" max="8709" width="5.54296875" style="59" bestFit="1" customWidth="1"/>
    <col min="8710" max="8710" width="5.81640625" style="59" bestFit="1" customWidth="1"/>
    <col min="8711" max="8711" width="12.1796875" style="59" bestFit="1" customWidth="1"/>
    <col min="8712" max="8712" width="9.81640625" style="59" bestFit="1" customWidth="1"/>
    <col min="8713" max="8713" width="73.1796875" style="59" customWidth="1"/>
    <col min="8714" max="8714" width="5.453125" style="59" bestFit="1" customWidth="1"/>
    <col min="8715" max="8715" width="14.1796875" style="59" customWidth="1"/>
    <col min="8716" max="8960" width="12.453125" style="59"/>
    <col min="8961" max="8962" width="3.81640625" style="59" customWidth="1"/>
    <col min="8963" max="8963" width="37.7265625" style="59" bestFit="1" customWidth="1"/>
    <col min="8964" max="8964" width="6.54296875" style="59" bestFit="1" customWidth="1"/>
    <col min="8965" max="8965" width="5.54296875" style="59" bestFit="1" customWidth="1"/>
    <col min="8966" max="8966" width="5.81640625" style="59" bestFit="1" customWidth="1"/>
    <col min="8967" max="8967" width="12.1796875" style="59" bestFit="1" customWidth="1"/>
    <col min="8968" max="8968" width="9.81640625" style="59" bestFit="1" customWidth="1"/>
    <col min="8969" max="8969" width="73.1796875" style="59" customWidth="1"/>
    <col min="8970" max="8970" width="5.453125" style="59" bestFit="1" customWidth="1"/>
    <col min="8971" max="8971" width="14.1796875" style="59" customWidth="1"/>
    <col min="8972" max="9216" width="12.453125" style="59"/>
    <col min="9217" max="9218" width="3.81640625" style="59" customWidth="1"/>
    <col min="9219" max="9219" width="37.7265625" style="59" bestFit="1" customWidth="1"/>
    <col min="9220" max="9220" width="6.54296875" style="59" bestFit="1" customWidth="1"/>
    <col min="9221" max="9221" width="5.54296875" style="59" bestFit="1" customWidth="1"/>
    <col min="9222" max="9222" width="5.81640625" style="59" bestFit="1" customWidth="1"/>
    <col min="9223" max="9223" width="12.1796875" style="59" bestFit="1" customWidth="1"/>
    <col min="9224" max="9224" width="9.81640625" style="59" bestFit="1" customWidth="1"/>
    <col min="9225" max="9225" width="73.1796875" style="59" customWidth="1"/>
    <col min="9226" max="9226" width="5.453125" style="59" bestFit="1" customWidth="1"/>
    <col min="9227" max="9227" width="14.1796875" style="59" customWidth="1"/>
    <col min="9228" max="9472" width="12.453125" style="59"/>
    <col min="9473" max="9474" width="3.81640625" style="59" customWidth="1"/>
    <col min="9475" max="9475" width="37.7265625" style="59" bestFit="1" customWidth="1"/>
    <col min="9476" max="9476" width="6.54296875" style="59" bestFit="1" customWidth="1"/>
    <col min="9477" max="9477" width="5.54296875" style="59" bestFit="1" customWidth="1"/>
    <col min="9478" max="9478" width="5.81640625" style="59" bestFit="1" customWidth="1"/>
    <col min="9479" max="9479" width="12.1796875" style="59" bestFit="1" customWidth="1"/>
    <col min="9480" max="9480" width="9.81640625" style="59" bestFit="1" customWidth="1"/>
    <col min="9481" max="9481" width="73.1796875" style="59" customWidth="1"/>
    <col min="9482" max="9482" width="5.453125" style="59" bestFit="1" customWidth="1"/>
    <col min="9483" max="9483" width="14.1796875" style="59" customWidth="1"/>
    <col min="9484" max="9728" width="12.453125" style="59"/>
    <col min="9729" max="9730" width="3.81640625" style="59" customWidth="1"/>
    <col min="9731" max="9731" width="37.7265625" style="59" bestFit="1" customWidth="1"/>
    <col min="9732" max="9732" width="6.54296875" style="59" bestFit="1" customWidth="1"/>
    <col min="9733" max="9733" width="5.54296875" style="59" bestFit="1" customWidth="1"/>
    <col min="9734" max="9734" width="5.81640625" style="59" bestFit="1" customWidth="1"/>
    <col min="9735" max="9735" width="12.1796875" style="59" bestFit="1" customWidth="1"/>
    <col min="9736" max="9736" width="9.81640625" style="59" bestFit="1" customWidth="1"/>
    <col min="9737" max="9737" width="73.1796875" style="59" customWidth="1"/>
    <col min="9738" max="9738" width="5.453125" style="59" bestFit="1" customWidth="1"/>
    <col min="9739" max="9739" width="14.1796875" style="59" customWidth="1"/>
    <col min="9740" max="9984" width="12.453125" style="59"/>
    <col min="9985" max="9986" width="3.81640625" style="59" customWidth="1"/>
    <col min="9987" max="9987" width="37.7265625" style="59" bestFit="1" customWidth="1"/>
    <col min="9988" max="9988" width="6.54296875" style="59" bestFit="1" customWidth="1"/>
    <col min="9989" max="9989" width="5.54296875" style="59" bestFit="1" customWidth="1"/>
    <col min="9990" max="9990" width="5.81640625" style="59" bestFit="1" customWidth="1"/>
    <col min="9991" max="9991" width="12.1796875" style="59" bestFit="1" customWidth="1"/>
    <col min="9992" max="9992" width="9.81640625" style="59" bestFit="1" customWidth="1"/>
    <col min="9993" max="9993" width="73.1796875" style="59" customWidth="1"/>
    <col min="9994" max="9994" width="5.453125" style="59" bestFit="1" customWidth="1"/>
    <col min="9995" max="9995" width="14.1796875" style="59" customWidth="1"/>
    <col min="9996" max="10240" width="12.453125" style="59"/>
    <col min="10241" max="10242" width="3.81640625" style="59" customWidth="1"/>
    <col min="10243" max="10243" width="37.7265625" style="59" bestFit="1" customWidth="1"/>
    <col min="10244" max="10244" width="6.54296875" style="59" bestFit="1" customWidth="1"/>
    <col min="10245" max="10245" width="5.54296875" style="59" bestFit="1" customWidth="1"/>
    <col min="10246" max="10246" width="5.81640625" style="59" bestFit="1" customWidth="1"/>
    <col min="10247" max="10247" width="12.1796875" style="59" bestFit="1" customWidth="1"/>
    <col min="10248" max="10248" width="9.81640625" style="59" bestFit="1" customWidth="1"/>
    <col min="10249" max="10249" width="73.1796875" style="59" customWidth="1"/>
    <col min="10250" max="10250" width="5.453125" style="59" bestFit="1" customWidth="1"/>
    <col min="10251" max="10251" width="14.1796875" style="59" customWidth="1"/>
    <col min="10252" max="10496" width="12.453125" style="59"/>
    <col min="10497" max="10498" width="3.81640625" style="59" customWidth="1"/>
    <col min="10499" max="10499" width="37.7265625" style="59" bestFit="1" customWidth="1"/>
    <col min="10500" max="10500" width="6.54296875" style="59" bestFit="1" customWidth="1"/>
    <col min="10501" max="10501" width="5.54296875" style="59" bestFit="1" customWidth="1"/>
    <col min="10502" max="10502" width="5.81640625" style="59" bestFit="1" customWidth="1"/>
    <col min="10503" max="10503" width="12.1796875" style="59" bestFit="1" customWidth="1"/>
    <col min="10504" max="10504" width="9.81640625" style="59" bestFit="1" customWidth="1"/>
    <col min="10505" max="10505" width="73.1796875" style="59" customWidth="1"/>
    <col min="10506" max="10506" width="5.453125" style="59" bestFit="1" customWidth="1"/>
    <col min="10507" max="10507" width="14.1796875" style="59" customWidth="1"/>
    <col min="10508" max="10752" width="12.453125" style="59"/>
    <col min="10753" max="10754" width="3.81640625" style="59" customWidth="1"/>
    <col min="10755" max="10755" width="37.7265625" style="59" bestFit="1" customWidth="1"/>
    <col min="10756" max="10756" width="6.54296875" style="59" bestFit="1" customWidth="1"/>
    <col min="10757" max="10757" width="5.54296875" style="59" bestFit="1" customWidth="1"/>
    <col min="10758" max="10758" width="5.81640625" style="59" bestFit="1" customWidth="1"/>
    <col min="10759" max="10759" width="12.1796875" style="59" bestFit="1" customWidth="1"/>
    <col min="10760" max="10760" width="9.81640625" style="59" bestFit="1" customWidth="1"/>
    <col min="10761" max="10761" width="73.1796875" style="59" customWidth="1"/>
    <col min="10762" max="10762" width="5.453125" style="59" bestFit="1" customWidth="1"/>
    <col min="10763" max="10763" width="14.1796875" style="59" customWidth="1"/>
    <col min="10764" max="11008" width="12.453125" style="59"/>
    <col min="11009" max="11010" width="3.81640625" style="59" customWidth="1"/>
    <col min="11011" max="11011" width="37.7265625" style="59" bestFit="1" customWidth="1"/>
    <col min="11012" max="11012" width="6.54296875" style="59" bestFit="1" customWidth="1"/>
    <col min="11013" max="11013" width="5.54296875" style="59" bestFit="1" customWidth="1"/>
    <col min="11014" max="11014" width="5.81640625" style="59" bestFit="1" customWidth="1"/>
    <col min="11015" max="11015" width="12.1796875" style="59" bestFit="1" customWidth="1"/>
    <col min="11016" max="11016" width="9.81640625" style="59" bestFit="1" customWidth="1"/>
    <col min="11017" max="11017" width="73.1796875" style="59" customWidth="1"/>
    <col min="11018" max="11018" width="5.453125" style="59" bestFit="1" customWidth="1"/>
    <col min="11019" max="11019" width="14.1796875" style="59" customWidth="1"/>
    <col min="11020" max="11264" width="12.453125" style="59"/>
    <col min="11265" max="11266" width="3.81640625" style="59" customWidth="1"/>
    <col min="11267" max="11267" width="37.7265625" style="59" bestFit="1" customWidth="1"/>
    <col min="11268" max="11268" width="6.54296875" style="59" bestFit="1" customWidth="1"/>
    <col min="11269" max="11269" width="5.54296875" style="59" bestFit="1" customWidth="1"/>
    <col min="11270" max="11270" width="5.81640625" style="59" bestFit="1" customWidth="1"/>
    <col min="11271" max="11271" width="12.1796875" style="59" bestFit="1" customWidth="1"/>
    <col min="11272" max="11272" width="9.81640625" style="59" bestFit="1" customWidth="1"/>
    <col min="11273" max="11273" width="73.1796875" style="59" customWidth="1"/>
    <col min="11274" max="11274" width="5.453125" style="59" bestFit="1" customWidth="1"/>
    <col min="11275" max="11275" width="14.1796875" style="59" customWidth="1"/>
    <col min="11276" max="11520" width="12.453125" style="59"/>
    <col min="11521" max="11522" width="3.81640625" style="59" customWidth="1"/>
    <col min="11523" max="11523" width="37.7265625" style="59" bestFit="1" customWidth="1"/>
    <col min="11524" max="11524" width="6.54296875" style="59" bestFit="1" customWidth="1"/>
    <col min="11525" max="11525" width="5.54296875" style="59" bestFit="1" customWidth="1"/>
    <col min="11526" max="11526" width="5.81640625" style="59" bestFit="1" customWidth="1"/>
    <col min="11527" max="11527" width="12.1796875" style="59" bestFit="1" customWidth="1"/>
    <col min="11528" max="11528" width="9.81640625" style="59" bestFit="1" customWidth="1"/>
    <col min="11529" max="11529" width="73.1796875" style="59" customWidth="1"/>
    <col min="11530" max="11530" width="5.453125" style="59" bestFit="1" customWidth="1"/>
    <col min="11531" max="11531" width="14.1796875" style="59" customWidth="1"/>
    <col min="11532" max="11776" width="12.453125" style="59"/>
    <col min="11777" max="11778" width="3.81640625" style="59" customWidth="1"/>
    <col min="11779" max="11779" width="37.7265625" style="59" bestFit="1" customWidth="1"/>
    <col min="11780" max="11780" width="6.54296875" style="59" bestFit="1" customWidth="1"/>
    <col min="11781" max="11781" width="5.54296875" style="59" bestFit="1" customWidth="1"/>
    <col min="11782" max="11782" width="5.81640625" style="59" bestFit="1" customWidth="1"/>
    <col min="11783" max="11783" width="12.1796875" style="59" bestFit="1" customWidth="1"/>
    <col min="11784" max="11784" width="9.81640625" style="59" bestFit="1" customWidth="1"/>
    <col min="11785" max="11785" width="73.1796875" style="59" customWidth="1"/>
    <col min="11786" max="11786" width="5.453125" style="59" bestFit="1" customWidth="1"/>
    <col min="11787" max="11787" width="14.1796875" style="59" customWidth="1"/>
    <col min="11788" max="12032" width="12.453125" style="59"/>
    <col min="12033" max="12034" width="3.81640625" style="59" customWidth="1"/>
    <col min="12035" max="12035" width="37.7265625" style="59" bestFit="1" customWidth="1"/>
    <col min="12036" max="12036" width="6.54296875" style="59" bestFit="1" customWidth="1"/>
    <col min="12037" max="12037" width="5.54296875" style="59" bestFit="1" customWidth="1"/>
    <col min="12038" max="12038" width="5.81640625" style="59" bestFit="1" customWidth="1"/>
    <col min="12039" max="12039" width="12.1796875" style="59" bestFit="1" customWidth="1"/>
    <col min="12040" max="12040" width="9.81640625" style="59" bestFit="1" customWidth="1"/>
    <col min="12041" max="12041" width="73.1796875" style="59" customWidth="1"/>
    <col min="12042" max="12042" width="5.453125" style="59" bestFit="1" customWidth="1"/>
    <col min="12043" max="12043" width="14.1796875" style="59" customWidth="1"/>
    <col min="12044" max="12288" width="12.453125" style="59"/>
    <col min="12289" max="12290" width="3.81640625" style="59" customWidth="1"/>
    <col min="12291" max="12291" width="37.7265625" style="59" bestFit="1" customWidth="1"/>
    <col min="12292" max="12292" width="6.54296875" style="59" bestFit="1" customWidth="1"/>
    <col min="12293" max="12293" width="5.54296875" style="59" bestFit="1" customWidth="1"/>
    <col min="12294" max="12294" width="5.81640625" style="59" bestFit="1" customWidth="1"/>
    <col min="12295" max="12295" width="12.1796875" style="59" bestFit="1" customWidth="1"/>
    <col min="12296" max="12296" width="9.81640625" style="59" bestFit="1" customWidth="1"/>
    <col min="12297" max="12297" width="73.1796875" style="59" customWidth="1"/>
    <col min="12298" max="12298" width="5.453125" style="59" bestFit="1" customWidth="1"/>
    <col min="12299" max="12299" width="14.1796875" style="59" customWidth="1"/>
    <col min="12300" max="12544" width="12.453125" style="59"/>
    <col min="12545" max="12546" width="3.81640625" style="59" customWidth="1"/>
    <col min="12547" max="12547" width="37.7265625" style="59" bestFit="1" customWidth="1"/>
    <col min="12548" max="12548" width="6.54296875" style="59" bestFit="1" customWidth="1"/>
    <col min="12549" max="12549" width="5.54296875" style="59" bestFit="1" customWidth="1"/>
    <col min="12550" max="12550" width="5.81640625" style="59" bestFit="1" customWidth="1"/>
    <col min="12551" max="12551" width="12.1796875" style="59" bestFit="1" customWidth="1"/>
    <col min="12552" max="12552" width="9.81640625" style="59" bestFit="1" customWidth="1"/>
    <col min="12553" max="12553" width="73.1796875" style="59" customWidth="1"/>
    <col min="12554" max="12554" width="5.453125" style="59" bestFit="1" customWidth="1"/>
    <col min="12555" max="12555" width="14.1796875" style="59" customWidth="1"/>
    <col min="12556" max="12800" width="12.453125" style="59"/>
    <col min="12801" max="12802" width="3.81640625" style="59" customWidth="1"/>
    <col min="12803" max="12803" width="37.7265625" style="59" bestFit="1" customWidth="1"/>
    <col min="12804" max="12804" width="6.54296875" style="59" bestFit="1" customWidth="1"/>
    <col min="12805" max="12805" width="5.54296875" style="59" bestFit="1" customWidth="1"/>
    <col min="12806" max="12806" width="5.81640625" style="59" bestFit="1" customWidth="1"/>
    <col min="12807" max="12807" width="12.1796875" style="59" bestFit="1" customWidth="1"/>
    <col min="12808" max="12808" width="9.81640625" style="59" bestFit="1" customWidth="1"/>
    <col min="12809" max="12809" width="73.1796875" style="59" customWidth="1"/>
    <col min="12810" max="12810" width="5.453125" style="59" bestFit="1" customWidth="1"/>
    <col min="12811" max="12811" width="14.1796875" style="59" customWidth="1"/>
    <col min="12812" max="13056" width="12.453125" style="59"/>
    <col min="13057" max="13058" width="3.81640625" style="59" customWidth="1"/>
    <col min="13059" max="13059" width="37.7265625" style="59" bestFit="1" customWidth="1"/>
    <col min="13060" max="13060" width="6.54296875" style="59" bestFit="1" customWidth="1"/>
    <col min="13061" max="13061" width="5.54296875" style="59" bestFit="1" customWidth="1"/>
    <col min="13062" max="13062" width="5.81640625" style="59" bestFit="1" customWidth="1"/>
    <col min="13063" max="13063" width="12.1796875" style="59" bestFit="1" customWidth="1"/>
    <col min="13064" max="13064" width="9.81640625" style="59" bestFit="1" customWidth="1"/>
    <col min="13065" max="13065" width="73.1796875" style="59" customWidth="1"/>
    <col min="13066" max="13066" width="5.453125" style="59" bestFit="1" customWidth="1"/>
    <col min="13067" max="13067" width="14.1796875" style="59" customWidth="1"/>
    <col min="13068" max="13312" width="12.453125" style="59"/>
    <col min="13313" max="13314" width="3.81640625" style="59" customWidth="1"/>
    <col min="13315" max="13315" width="37.7265625" style="59" bestFit="1" customWidth="1"/>
    <col min="13316" max="13316" width="6.54296875" style="59" bestFit="1" customWidth="1"/>
    <col min="13317" max="13317" width="5.54296875" style="59" bestFit="1" customWidth="1"/>
    <col min="13318" max="13318" width="5.81640625" style="59" bestFit="1" customWidth="1"/>
    <col min="13319" max="13319" width="12.1796875" style="59" bestFit="1" customWidth="1"/>
    <col min="13320" max="13320" width="9.81640625" style="59" bestFit="1" customWidth="1"/>
    <col min="13321" max="13321" width="73.1796875" style="59" customWidth="1"/>
    <col min="13322" max="13322" width="5.453125" style="59" bestFit="1" customWidth="1"/>
    <col min="13323" max="13323" width="14.1796875" style="59" customWidth="1"/>
    <col min="13324" max="13568" width="12.453125" style="59"/>
    <col min="13569" max="13570" width="3.81640625" style="59" customWidth="1"/>
    <col min="13571" max="13571" width="37.7265625" style="59" bestFit="1" customWidth="1"/>
    <col min="13572" max="13572" width="6.54296875" style="59" bestFit="1" customWidth="1"/>
    <col min="13573" max="13573" width="5.54296875" style="59" bestFit="1" customWidth="1"/>
    <col min="13574" max="13574" width="5.81640625" style="59" bestFit="1" customWidth="1"/>
    <col min="13575" max="13575" width="12.1796875" style="59" bestFit="1" customWidth="1"/>
    <col min="13576" max="13576" width="9.81640625" style="59" bestFit="1" customWidth="1"/>
    <col min="13577" max="13577" width="73.1796875" style="59" customWidth="1"/>
    <col min="13578" max="13578" width="5.453125" style="59" bestFit="1" customWidth="1"/>
    <col min="13579" max="13579" width="14.1796875" style="59" customWidth="1"/>
    <col min="13580" max="13824" width="12.453125" style="59"/>
    <col min="13825" max="13826" width="3.81640625" style="59" customWidth="1"/>
    <col min="13827" max="13827" width="37.7265625" style="59" bestFit="1" customWidth="1"/>
    <col min="13828" max="13828" width="6.54296875" style="59" bestFit="1" customWidth="1"/>
    <col min="13829" max="13829" width="5.54296875" style="59" bestFit="1" customWidth="1"/>
    <col min="13830" max="13830" width="5.81640625" style="59" bestFit="1" customWidth="1"/>
    <col min="13831" max="13831" width="12.1796875" style="59" bestFit="1" customWidth="1"/>
    <col min="13832" max="13832" width="9.81640625" style="59" bestFit="1" customWidth="1"/>
    <col min="13833" max="13833" width="73.1796875" style="59" customWidth="1"/>
    <col min="13834" max="13834" width="5.453125" style="59" bestFit="1" customWidth="1"/>
    <col min="13835" max="13835" width="14.1796875" style="59" customWidth="1"/>
    <col min="13836" max="14080" width="12.453125" style="59"/>
    <col min="14081" max="14082" width="3.81640625" style="59" customWidth="1"/>
    <col min="14083" max="14083" width="37.7265625" style="59" bestFit="1" customWidth="1"/>
    <col min="14084" max="14084" width="6.54296875" style="59" bestFit="1" customWidth="1"/>
    <col min="14085" max="14085" width="5.54296875" style="59" bestFit="1" customWidth="1"/>
    <col min="14086" max="14086" width="5.81640625" style="59" bestFit="1" customWidth="1"/>
    <col min="14087" max="14087" width="12.1796875" style="59" bestFit="1" customWidth="1"/>
    <col min="14088" max="14088" width="9.81640625" style="59" bestFit="1" customWidth="1"/>
    <col min="14089" max="14089" width="73.1796875" style="59" customWidth="1"/>
    <col min="14090" max="14090" width="5.453125" style="59" bestFit="1" customWidth="1"/>
    <col min="14091" max="14091" width="14.1796875" style="59" customWidth="1"/>
    <col min="14092" max="14336" width="12.453125" style="59"/>
    <col min="14337" max="14338" width="3.81640625" style="59" customWidth="1"/>
    <col min="14339" max="14339" width="37.7265625" style="59" bestFit="1" customWidth="1"/>
    <col min="14340" max="14340" width="6.54296875" style="59" bestFit="1" customWidth="1"/>
    <col min="14341" max="14341" width="5.54296875" style="59" bestFit="1" customWidth="1"/>
    <col min="14342" max="14342" width="5.81640625" style="59" bestFit="1" customWidth="1"/>
    <col min="14343" max="14343" width="12.1796875" style="59" bestFit="1" customWidth="1"/>
    <col min="14344" max="14344" width="9.81640625" style="59" bestFit="1" customWidth="1"/>
    <col min="14345" max="14345" width="73.1796875" style="59" customWidth="1"/>
    <col min="14346" max="14346" width="5.453125" style="59" bestFit="1" customWidth="1"/>
    <col min="14347" max="14347" width="14.1796875" style="59" customWidth="1"/>
    <col min="14348" max="14592" width="12.453125" style="59"/>
    <col min="14593" max="14594" width="3.81640625" style="59" customWidth="1"/>
    <col min="14595" max="14595" width="37.7265625" style="59" bestFit="1" customWidth="1"/>
    <col min="14596" max="14596" width="6.54296875" style="59" bestFit="1" customWidth="1"/>
    <col min="14597" max="14597" width="5.54296875" style="59" bestFit="1" customWidth="1"/>
    <col min="14598" max="14598" width="5.81640625" style="59" bestFit="1" customWidth="1"/>
    <col min="14599" max="14599" width="12.1796875" style="59" bestFit="1" customWidth="1"/>
    <col min="14600" max="14600" width="9.81640625" style="59" bestFit="1" customWidth="1"/>
    <col min="14601" max="14601" width="73.1796875" style="59" customWidth="1"/>
    <col min="14602" max="14602" width="5.453125" style="59" bestFit="1" customWidth="1"/>
    <col min="14603" max="14603" width="14.1796875" style="59" customWidth="1"/>
    <col min="14604" max="14848" width="12.453125" style="59"/>
    <col min="14849" max="14850" width="3.81640625" style="59" customWidth="1"/>
    <col min="14851" max="14851" width="37.7265625" style="59" bestFit="1" customWidth="1"/>
    <col min="14852" max="14852" width="6.54296875" style="59" bestFit="1" customWidth="1"/>
    <col min="14853" max="14853" width="5.54296875" style="59" bestFit="1" customWidth="1"/>
    <col min="14854" max="14854" width="5.81640625" style="59" bestFit="1" customWidth="1"/>
    <col min="14855" max="14855" width="12.1796875" style="59" bestFit="1" customWidth="1"/>
    <col min="14856" max="14856" width="9.81640625" style="59" bestFit="1" customWidth="1"/>
    <col min="14857" max="14857" width="73.1796875" style="59" customWidth="1"/>
    <col min="14858" max="14858" width="5.453125" style="59" bestFit="1" customWidth="1"/>
    <col min="14859" max="14859" width="14.1796875" style="59" customWidth="1"/>
    <col min="14860" max="15104" width="12.453125" style="59"/>
    <col min="15105" max="15106" width="3.81640625" style="59" customWidth="1"/>
    <col min="15107" max="15107" width="37.7265625" style="59" bestFit="1" customWidth="1"/>
    <col min="15108" max="15108" width="6.54296875" style="59" bestFit="1" customWidth="1"/>
    <col min="15109" max="15109" width="5.54296875" style="59" bestFit="1" customWidth="1"/>
    <col min="15110" max="15110" width="5.81640625" style="59" bestFit="1" customWidth="1"/>
    <col min="15111" max="15111" width="12.1796875" style="59" bestFit="1" customWidth="1"/>
    <col min="15112" max="15112" width="9.81640625" style="59" bestFit="1" customWidth="1"/>
    <col min="15113" max="15113" width="73.1796875" style="59" customWidth="1"/>
    <col min="15114" max="15114" width="5.453125" style="59" bestFit="1" customWidth="1"/>
    <col min="15115" max="15115" width="14.1796875" style="59" customWidth="1"/>
    <col min="15116" max="15360" width="12.453125" style="59"/>
    <col min="15361" max="15362" width="3.81640625" style="59" customWidth="1"/>
    <col min="15363" max="15363" width="37.7265625" style="59" bestFit="1" customWidth="1"/>
    <col min="15364" max="15364" width="6.54296875" style="59" bestFit="1" customWidth="1"/>
    <col min="15365" max="15365" width="5.54296875" style="59" bestFit="1" customWidth="1"/>
    <col min="15366" max="15366" width="5.81640625" style="59" bestFit="1" customWidth="1"/>
    <col min="15367" max="15367" width="12.1796875" style="59" bestFit="1" customWidth="1"/>
    <col min="15368" max="15368" width="9.81640625" style="59" bestFit="1" customWidth="1"/>
    <col min="15369" max="15369" width="73.1796875" style="59" customWidth="1"/>
    <col min="15370" max="15370" width="5.453125" style="59" bestFit="1" customWidth="1"/>
    <col min="15371" max="15371" width="14.1796875" style="59" customWidth="1"/>
    <col min="15372" max="15616" width="12.453125" style="59"/>
    <col min="15617" max="15618" width="3.81640625" style="59" customWidth="1"/>
    <col min="15619" max="15619" width="37.7265625" style="59" bestFit="1" customWidth="1"/>
    <col min="15620" max="15620" width="6.54296875" style="59" bestFit="1" customWidth="1"/>
    <col min="15621" max="15621" width="5.54296875" style="59" bestFit="1" customWidth="1"/>
    <col min="15622" max="15622" width="5.81640625" style="59" bestFit="1" customWidth="1"/>
    <col min="15623" max="15623" width="12.1796875" style="59" bestFit="1" customWidth="1"/>
    <col min="15624" max="15624" width="9.81640625" style="59" bestFit="1" customWidth="1"/>
    <col min="15625" max="15625" width="73.1796875" style="59" customWidth="1"/>
    <col min="15626" max="15626" width="5.453125" style="59" bestFit="1" customWidth="1"/>
    <col min="15627" max="15627" width="14.1796875" style="59" customWidth="1"/>
    <col min="15628" max="15872" width="12.453125" style="59"/>
    <col min="15873" max="15874" width="3.81640625" style="59" customWidth="1"/>
    <col min="15875" max="15875" width="37.7265625" style="59" bestFit="1" customWidth="1"/>
    <col min="15876" max="15876" width="6.54296875" style="59" bestFit="1" customWidth="1"/>
    <col min="15877" max="15877" width="5.54296875" style="59" bestFit="1" customWidth="1"/>
    <col min="15878" max="15878" width="5.81640625" style="59" bestFit="1" customWidth="1"/>
    <col min="15879" max="15879" width="12.1796875" style="59" bestFit="1" customWidth="1"/>
    <col min="15880" max="15880" width="9.81640625" style="59" bestFit="1" customWidth="1"/>
    <col min="15881" max="15881" width="73.1796875" style="59" customWidth="1"/>
    <col min="15882" max="15882" width="5.453125" style="59" bestFit="1" customWidth="1"/>
    <col min="15883" max="15883" width="14.1796875" style="59" customWidth="1"/>
    <col min="15884" max="16128" width="12.453125" style="59"/>
    <col min="16129" max="16130" width="3.81640625" style="59" customWidth="1"/>
    <col min="16131" max="16131" width="37.7265625" style="59" bestFit="1" customWidth="1"/>
    <col min="16132" max="16132" width="6.54296875" style="59" bestFit="1" customWidth="1"/>
    <col min="16133" max="16133" width="5.54296875" style="59" bestFit="1" customWidth="1"/>
    <col min="16134" max="16134" width="5.81640625" style="59" bestFit="1" customWidth="1"/>
    <col min="16135" max="16135" width="12.1796875" style="59" bestFit="1" customWidth="1"/>
    <col min="16136" max="16136" width="9.81640625" style="59" bestFit="1" customWidth="1"/>
    <col min="16137" max="16137" width="73.1796875" style="59" customWidth="1"/>
    <col min="16138" max="16138" width="5.453125" style="59" bestFit="1" customWidth="1"/>
    <col min="16139" max="16139" width="14.1796875" style="59" customWidth="1"/>
    <col min="16140" max="16384" width="12.453125" style="59"/>
  </cols>
  <sheetData>
    <row r="1" spans="2:13">
      <c r="B1" s="57" t="s">
        <v>364</v>
      </c>
      <c r="C1" s="58"/>
      <c r="F1" s="60"/>
    </row>
    <row r="2" spans="2:13">
      <c r="B2" s="60" t="s">
        <v>1</v>
      </c>
    </row>
    <row r="3" spans="2:13">
      <c r="B3" s="60" t="s">
        <v>2</v>
      </c>
    </row>
    <row r="4" spans="2:13" ht="66.75" customHeight="1">
      <c r="B4" s="60"/>
      <c r="I4" s="62" t="s">
        <v>435</v>
      </c>
    </row>
    <row r="5" spans="2:13" ht="11.25" customHeight="1" thickBot="1"/>
    <row r="6" spans="2:13" ht="12.75" customHeight="1">
      <c r="B6" s="63"/>
      <c r="C6" s="64"/>
      <c r="D6" s="65" t="s">
        <v>4</v>
      </c>
      <c r="E6" s="65"/>
      <c r="F6" s="65"/>
      <c r="G6" s="66"/>
      <c r="H6" s="66"/>
      <c r="I6" s="66"/>
      <c r="J6" s="67"/>
      <c r="K6" s="209" t="s">
        <v>366</v>
      </c>
      <c r="L6" s="210"/>
      <c r="M6" s="211"/>
    </row>
    <row r="7" spans="2:13" ht="14.5" thickBot="1">
      <c r="B7" s="68"/>
      <c r="C7" s="69"/>
      <c r="D7" s="70" t="s">
        <v>5</v>
      </c>
      <c r="E7" s="70" t="s">
        <v>6</v>
      </c>
      <c r="F7" s="70" t="s">
        <v>7</v>
      </c>
      <c r="G7" s="70" t="s">
        <v>8</v>
      </c>
      <c r="H7" s="70" t="s">
        <v>9</v>
      </c>
      <c r="I7" s="71" t="s">
        <v>10</v>
      </c>
      <c r="J7" s="145" t="s">
        <v>11</v>
      </c>
      <c r="K7" s="212"/>
      <c r="L7" s="213"/>
      <c r="M7" s="214"/>
    </row>
    <row r="8" spans="2:13" ht="35">
      <c r="B8" s="73">
        <v>1</v>
      </c>
      <c r="C8" s="74" t="s">
        <v>12</v>
      </c>
      <c r="D8" s="75">
        <v>1</v>
      </c>
      <c r="E8" s="75">
        <f>+D8+F8-1</f>
        <v>4</v>
      </c>
      <c r="F8" s="75">
        <v>4</v>
      </c>
      <c r="G8" s="76" t="s">
        <v>13</v>
      </c>
      <c r="H8" s="75" t="s">
        <v>14</v>
      </c>
      <c r="I8" s="77" t="s">
        <v>15</v>
      </c>
      <c r="J8" s="146" t="s">
        <v>16</v>
      </c>
      <c r="K8" s="167" t="s">
        <v>368</v>
      </c>
      <c r="L8" s="168" t="s">
        <v>368</v>
      </c>
      <c r="M8" s="169" t="s">
        <v>368</v>
      </c>
    </row>
    <row r="9" spans="2:13">
      <c r="B9" s="79">
        <v>2</v>
      </c>
      <c r="C9" s="80" t="s">
        <v>17</v>
      </c>
      <c r="D9" s="81">
        <f>+E8+1</f>
        <v>5</v>
      </c>
      <c r="E9" s="81">
        <f>+D9+F9-1</f>
        <v>8</v>
      </c>
      <c r="F9" s="81">
        <v>4</v>
      </c>
      <c r="G9" s="82" t="s">
        <v>13</v>
      </c>
      <c r="H9" s="81" t="s">
        <v>14</v>
      </c>
      <c r="I9" s="83" t="s">
        <v>18</v>
      </c>
      <c r="J9" s="115" t="s">
        <v>16</v>
      </c>
      <c r="K9" s="170" t="s">
        <v>370</v>
      </c>
      <c r="L9" s="171" t="s">
        <v>436</v>
      </c>
      <c r="M9" s="172" t="s">
        <v>436</v>
      </c>
    </row>
    <row r="10" spans="2:13">
      <c r="B10" s="79">
        <v>3</v>
      </c>
      <c r="C10" s="80" t="s">
        <v>19</v>
      </c>
      <c r="D10" s="81">
        <f t="shared" ref="D10:D70" si="0">+E9+1</f>
        <v>9</v>
      </c>
      <c r="E10" s="81">
        <f t="shared" ref="E10:E35" si="1">+D10+F10-1</f>
        <v>15</v>
      </c>
      <c r="F10" s="81">
        <v>7</v>
      </c>
      <c r="G10" s="82" t="s">
        <v>13</v>
      </c>
      <c r="H10" s="81" t="s">
        <v>14</v>
      </c>
      <c r="I10" s="83" t="s">
        <v>20</v>
      </c>
      <c r="J10" s="115" t="s">
        <v>16</v>
      </c>
      <c r="K10" s="170" t="s">
        <v>437</v>
      </c>
      <c r="L10" s="171" t="s">
        <v>438</v>
      </c>
      <c r="M10" s="172" t="s">
        <v>438</v>
      </c>
    </row>
    <row r="11" spans="2:13">
      <c r="B11" s="79">
        <v>4</v>
      </c>
      <c r="C11" s="80" t="s">
        <v>21</v>
      </c>
      <c r="D11" s="81">
        <f t="shared" si="0"/>
        <v>16</v>
      </c>
      <c r="E11" s="81">
        <f t="shared" si="1"/>
        <v>22</v>
      </c>
      <c r="F11" s="81">
        <v>7</v>
      </c>
      <c r="G11" s="82" t="s">
        <v>13</v>
      </c>
      <c r="H11" s="81" t="s">
        <v>14</v>
      </c>
      <c r="I11" s="83" t="s">
        <v>22</v>
      </c>
      <c r="J11" s="115" t="s">
        <v>16</v>
      </c>
      <c r="K11" s="170" t="s">
        <v>439</v>
      </c>
      <c r="L11" s="171" t="s">
        <v>440</v>
      </c>
      <c r="M11" s="172" t="s">
        <v>440</v>
      </c>
    </row>
    <row r="12" spans="2:13" ht="14.5">
      <c r="B12" s="85">
        <v>5</v>
      </c>
      <c r="C12" s="86" t="s">
        <v>23</v>
      </c>
      <c r="D12" s="87">
        <f t="shared" si="0"/>
        <v>23</v>
      </c>
      <c r="E12" s="87">
        <f t="shared" si="1"/>
        <v>25</v>
      </c>
      <c r="F12" s="87">
        <v>3</v>
      </c>
      <c r="G12" s="88" t="s">
        <v>13</v>
      </c>
      <c r="H12" s="87" t="s">
        <v>14</v>
      </c>
      <c r="I12" s="89" t="s">
        <v>24</v>
      </c>
      <c r="J12" s="115" t="s">
        <v>25</v>
      </c>
      <c r="K12" s="170" t="s">
        <v>375</v>
      </c>
      <c r="L12" s="171" t="s">
        <v>375</v>
      </c>
      <c r="M12" s="172" t="s">
        <v>375</v>
      </c>
    </row>
    <row r="13" spans="2:13" ht="23.5">
      <c r="B13" s="79">
        <v>6</v>
      </c>
      <c r="C13" s="80" t="s">
        <v>26</v>
      </c>
      <c r="D13" s="81">
        <f t="shared" si="0"/>
        <v>26</v>
      </c>
      <c r="E13" s="81">
        <f t="shared" si="1"/>
        <v>33</v>
      </c>
      <c r="F13" s="81">
        <v>8</v>
      </c>
      <c r="G13" s="82" t="s">
        <v>27</v>
      </c>
      <c r="H13" s="81" t="s">
        <v>14</v>
      </c>
      <c r="I13" s="90" t="s">
        <v>28</v>
      </c>
      <c r="J13" s="115" t="s">
        <v>16</v>
      </c>
      <c r="K13" s="170" t="s">
        <v>441</v>
      </c>
      <c r="L13" s="171" t="s">
        <v>441</v>
      </c>
      <c r="M13" s="172" t="s">
        <v>441</v>
      </c>
    </row>
    <row r="14" spans="2:13" ht="38.25" customHeight="1">
      <c r="B14" s="91">
        <v>7</v>
      </c>
      <c r="C14" s="80" t="s">
        <v>29</v>
      </c>
      <c r="D14" s="81">
        <f t="shared" si="0"/>
        <v>34</v>
      </c>
      <c r="E14" s="81">
        <f t="shared" si="1"/>
        <v>41</v>
      </c>
      <c r="F14" s="81">
        <v>8</v>
      </c>
      <c r="G14" s="82" t="s">
        <v>27</v>
      </c>
      <c r="H14" s="81" t="s">
        <v>14</v>
      </c>
      <c r="I14" s="92" t="s">
        <v>354</v>
      </c>
      <c r="J14" s="148" t="s">
        <v>16</v>
      </c>
      <c r="K14" s="170" t="s">
        <v>442</v>
      </c>
      <c r="L14" s="171" t="s">
        <v>441</v>
      </c>
      <c r="M14" s="172" t="s">
        <v>441</v>
      </c>
    </row>
    <row r="15" spans="2:13">
      <c r="B15" s="79">
        <v>8</v>
      </c>
      <c r="C15" s="94" t="s">
        <v>31</v>
      </c>
      <c r="D15" s="95">
        <f t="shared" si="0"/>
        <v>42</v>
      </c>
      <c r="E15" s="95">
        <f t="shared" si="1"/>
        <v>42</v>
      </c>
      <c r="F15" s="95">
        <v>1</v>
      </c>
      <c r="G15" s="96" t="s">
        <v>13</v>
      </c>
      <c r="H15" s="95" t="s">
        <v>14</v>
      </c>
      <c r="I15" s="97" t="s">
        <v>355</v>
      </c>
      <c r="J15" s="115" t="s">
        <v>16</v>
      </c>
      <c r="K15" s="170" t="s">
        <v>378</v>
      </c>
      <c r="L15" s="171" t="s">
        <v>443</v>
      </c>
      <c r="M15" s="172" t="s">
        <v>378</v>
      </c>
    </row>
    <row r="16" spans="2:13">
      <c r="B16" s="79">
        <v>9</v>
      </c>
      <c r="C16" s="94" t="s">
        <v>33</v>
      </c>
      <c r="D16" s="95">
        <f t="shared" si="0"/>
        <v>43</v>
      </c>
      <c r="E16" s="95">
        <f t="shared" si="1"/>
        <v>43</v>
      </c>
      <c r="F16" s="95">
        <v>1</v>
      </c>
      <c r="G16" s="96" t="s">
        <v>13</v>
      </c>
      <c r="H16" s="95" t="s">
        <v>14</v>
      </c>
      <c r="I16" s="97" t="s">
        <v>358</v>
      </c>
      <c r="J16" s="115" t="s">
        <v>16</v>
      </c>
      <c r="K16" s="170" t="s">
        <v>378</v>
      </c>
      <c r="L16" s="171" t="s">
        <v>378</v>
      </c>
      <c r="M16" s="172" t="s">
        <v>378</v>
      </c>
    </row>
    <row r="17" spans="2:13">
      <c r="B17" s="79">
        <v>10</v>
      </c>
      <c r="C17" s="80" t="s">
        <v>35</v>
      </c>
      <c r="D17" s="81">
        <f t="shared" si="0"/>
        <v>44</v>
      </c>
      <c r="E17" s="81">
        <f t="shared" si="1"/>
        <v>50</v>
      </c>
      <c r="F17" s="81">
        <v>7</v>
      </c>
      <c r="G17" s="82" t="s">
        <v>13</v>
      </c>
      <c r="H17" s="81" t="s">
        <v>14</v>
      </c>
      <c r="I17" s="83" t="s">
        <v>36</v>
      </c>
      <c r="J17" s="115" t="s">
        <v>16</v>
      </c>
      <c r="K17" s="170" t="s">
        <v>444</v>
      </c>
      <c r="L17" s="171" t="s">
        <v>445</v>
      </c>
      <c r="M17" s="172" t="s">
        <v>445</v>
      </c>
    </row>
    <row r="18" spans="2:13">
      <c r="B18" s="79">
        <v>11</v>
      </c>
      <c r="C18" s="80" t="s">
        <v>37</v>
      </c>
      <c r="D18" s="81">
        <f t="shared" si="0"/>
        <v>51</v>
      </c>
      <c r="E18" s="81">
        <f t="shared" si="1"/>
        <v>64</v>
      </c>
      <c r="F18" s="81">
        <v>14</v>
      </c>
      <c r="G18" s="82" t="s">
        <v>38</v>
      </c>
      <c r="H18" s="81" t="s">
        <v>39</v>
      </c>
      <c r="I18" s="83" t="s">
        <v>40</v>
      </c>
      <c r="J18" s="115" t="s">
        <v>16</v>
      </c>
      <c r="K18" s="170" t="s">
        <v>446</v>
      </c>
      <c r="L18" s="171" t="s">
        <v>447</v>
      </c>
      <c r="M18" s="172" t="s">
        <v>447</v>
      </c>
    </row>
    <row r="19" spans="2:13">
      <c r="B19" s="79">
        <v>12</v>
      </c>
      <c r="C19" s="80" t="s">
        <v>41</v>
      </c>
      <c r="D19" s="81">
        <f t="shared" si="0"/>
        <v>65</v>
      </c>
      <c r="E19" s="81">
        <f t="shared" si="1"/>
        <v>80</v>
      </c>
      <c r="F19" s="81">
        <v>16</v>
      </c>
      <c r="G19" s="82" t="s">
        <v>42</v>
      </c>
      <c r="H19" s="81" t="s">
        <v>39</v>
      </c>
      <c r="I19" s="83" t="s">
        <v>43</v>
      </c>
      <c r="J19" s="115" t="s">
        <v>16</v>
      </c>
      <c r="K19" s="170" t="s">
        <v>385</v>
      </c>
      <c r="L19" s="171" t="s">
        <v>448</v>
      </c>
      <c r="M19" s="172" t="s">
        <v>448</v>
      </c>
    </row>
    <row r="20" spans="2:13" ht="14.5">
      <c r="B20" s="99">
        <v>13</v>
      </c>
      <c r="C20" s="100" t="s">
        <v>44</v>
      </c>
      <c r="D20" s="101">
        <f t="shared" si="0"/>
        <v>81</v>
      </c>
      <c r="E20" s="101">
        <f t="shared" si="1"/>
        <v>94</v>
      </c>
      <c r="F20" s="101">
        <v>14</v>
      </c>
      <c r="G20" s="102" t="s">
        <v>45</v>
      </c>
      <c r="H20" s="101" t="s">
        <v>14</v>
      </c>
      <c r="I20" s="103" t="s">
        <v>360</v>
      </c>
      <c r="J20" s="115" t="s">
        <v>25</v>
      </c>
      <c r="K20" s="170" t="s">
        <v>449</v>
      </c>
      <c r="L20" s="171" t="s">
        <v>419</v>
      </c>
      <c r="M20" s="172" t="s">
        <v>419</v>
      </c>
    </row>
    <row r="21" spans="2:13" ht="14.5">
      <c r="B21" s="99">
        <v>14</v>
      </c>
      <c r="C21" s="100" t="s">
        <v>47</v>
      </c>
      <c r="D21" s="101">
        <f t="shared" si="0"/>
        <v>95</v>
      </c>
      <c r="E21" s="101">
        <f t="shared" si="1"/>
        <v>108</v>
      </c>
      <c r="F21" s="101">
        <v>14</v>
      </c>
      <c r="G21" s="102" t="s">
        <v>45</v>
      </c>
      <c r="H21" s="101" t="s">
        <v>14</v>
      </c>
      <c r="I21" s="103" t="s">
        <v>361</v>
      </c>
      <c r="J21" s="115" t="s">
        <v>25</v>
      </c>
      <c r="K21" s="170" t="s">
        <v>450</v>
      </c>
      <c r="L21" s="171" t="s">
        <v>419</v>
      </c>
      <c r="M21" s="172" t="s">
        <v>419</v>
      </c>
    </row>
    <row r="22" spans="2:13">
      <c r="B22" s="79">
        <v>15</v>
      </c>
      <c r="C22" s="94" t="s">
        <v>49</v>
      </c>
      <c r="D22" s="95">
        <f t="shared" si="0"/>
        <v>109</v>
      </c>
      <c r="E22" s="95">
        <f t="shared" si="1"/>
        <v>116</v>
      </c>
      <c r="F22" s="95">
        <v>8</v>
      </c>
      <c r="G22" s="96" t="s">
        <v>27</v>
      </c>
      <c r="H22" s="95" t="s">
        <v>14</v>
      </c>
      <c r="I22" s="98" t="s">
        <v>50</v>
      </c>
      <c r="J22" s="115" t="s">
        <v>16</v>
      </c>
      <c r="K22" s="170" t="s">
        <v>451</v>
      </c>
      <c r="L22" s="171" t="s">
        <v>452</v>
      </c>
      <c r="M22" s="172" t="s">
        <v>452</v>
      </c>
    </row>
    <row r="23" spans="2:13">
      <c r="B23" s="79">
        <v>16</v>
      </c>
      <c r="C23" s="94" t="s">
        <v>51</v>
      </c>
      <c r="D23" s="95">
        <f t="shared" si="0"/>
        <v>117</v>
      </c>
      <c r="E23" s="95">
        <f t="shared" si="1"/>
        <v>133</v>
      </c>
      <c r="F23" s="95">
        <v>17</v>
      </c>
      <c r="G23" s="96" t="s">
        <v>52</v>
      </c>
      <c r="H23" s="95" t="s">
        <v>14</v>
      </c>
      <c r="I23" s="98" t="s">
        <v>53</v>
      </c>
      <c r="J23" s="115" t="s">
        <v>16</v>
      </c>
      <c r="K23" s="170" t="s">
        <v>387</v>
      </c>
      <c r="L23" s="171" t="s">
        <v>387</v>
      </c>
      <c r="M23" s="172" t="s">
        <v>387</v>
      </c>
    </row>
    <row r="24" spans="2:13">
      <c r="B24" s="79">
        <v>17</v>
      </c>
      <c r="C24" s="80" t="s">
        <v>54</v>
      </c>
      <c r="D24" s="81">
        <f t="shared" si="0"/>
        <v>134</v>
      </c>
      <c r="E24" s="81">
        <f t="shared" si="1"/>
        <v>139</v>
      </c>
      <c r="F24" s="81">
        <v>6</v>
      </c>
      <c r="G24" s="82" t="s">
        <v>13</v>
      </c>
      <c r="H24" s="81" t="s">
        <v>39</v>
      </c>
      <c r="I24" s="83" t="s">
        <v>55</v>
      </c>
      <c r="J24" s="115" t="s">
        <v>16</v>
      </c>
      <c r="K24" s="170" t="s">
        <v>437</v>
      </c>
      <c r="L24" s="171" t="s">
        <v>453</v>
      </c>
      <c r="M24" s="172" t="s">
        <v>453</v>
      </c>
    </row>
    <row r="25" spans="2:13">
      <c r="B25" s="79">
        <v>18</v>
      </c>
      <c r="C25" s="80" t="s">
        <v>56</v>
      </c>
      <c r="D25" s="81">
        <f t="shared" si="0"/>
        <v>140</v>
      </c>
      <c r="E25" s="81">
        <f t="shared" si="1"/>
        <v>157</v>
      </c>
      <c r="F25" s="81">
        <v>18</v>
      </c>
      <c r="G25" s="82" t="s">
        <v>13</v>
      </c>
      <c r="H25" s="81" t="s">
        <v>57</v>
      </c>
      <c r="I25" s="83" t="s">
        <v>58</v>
      </c>
      <c r="J25" s="115" t="s">
        <v>16</v>
      </c>
      <c r="K25" s="170" t="s">
        <v>391</v>
      </c>
      <c r="L25" s="171" t="s">
        <v>391</v>
      </c>
      <c r="M25" s="172" t="s">
        <v>391</v>
      </c>
    </row>
    <row r="26" spans="2:13">
      <c r="B26" s="79">
        <v>19</v>
      </c>
      <c r="C26" s="80" t="s">
        <v>59</v>
      </c>
      <c r="D26" s="81">
        <f t="shared" si="0"/>
        <v>158</v>
      </c>
      <c r="E26" s="81">
        <f t="shared" si="1"/>
        <v>166</v>
      </c>
      <c r="F26" s="81">
        <v>9</v>
      </c>
      <c r="G26" s="82" t="s">
        <v>60</v>
      </c>
      <c r="H26" s="81" t="s">
        <v>57</v>
      </c>
      <c r="I26" s="83" t="s">
        <v>61</v>
      </c>
      <c r="J26" s="115" t="s">
        <v>16</v>
      </c>
      <c r="K26" s="170" t="s">
        <v>392</v>
      </c>
      <c r="L26" s="171" t="s">
        <v>392</v>
      </c>
      <c r="M26" s="172" t="s">
        <v>392</v>
      </c>
    </row>
    <row r="27" spans="2:13">
      <c r="B27" s="79">
        <v>20</v>
      </c>
      <c r="C27" s="80" t="s">
        <v>62</v>
      </c>
      <c r="D27" s="81">
        <f t="shared" si="0"/>
        <v>167</v>
      </c>
      <c r="E27" s="81">
        <f t="shared" si="1"/>
        <v>167</v>
      </c>
      <c r="F27" s="81">
        <v>1</v>
      </c>
      <c r="G27" s="82" t="s">
        <v>13</v>
      </c>
      <c r="H27" s="81" t="s">
        <v>14</v>
      </c>
      <c r="I27" s="83" t="s">
        <v>63</v>
      </c>
      <c r="J27" s="115" t="s">
        <v>16</v>
      </c>
      <c r="K27" s="170" t="s">
        <v>393</v>
      </c>
      <c r="L27" s="171" t="s">
        <v>393</v>
      </c>
      <c r="M27" s="172" t="s">
        <v>393</v>
      </c>
    </row>
    <row r="28" spans="2:13">
      <c r="B28" s="79">
        <v>21</v>
      </c>
      <c r="C28" s="80" t="s">
        <v>64</v>
      </c>
      <c r="D28" s="81">
        <f t="shared" si="0"/>
        <v>168</v>
      </c>
      <c r="E28" s="81">
        <f t="shared" si="1"/>
        <v>172</v>
      </c>
      <c r="F28" s="81">
        <v>5</v>
      </c>
      <c r="G28" s="82" t="s">
        <v>13</v>
      </c>
      <c r="H28" s="81" t="s">
        <v>14</v>
      </c>
      <c r="I28" s="83"/>
      <c r="J28" s="115" t="s">
        <v>16</v>
      </c>
      <c r="K28" s="170" t="s">
        <v>395</v>
      </c>
      <c r="L28" s="171" t="s">
        <v>395</v>
      </c>
      <c r="M28" s="172" t="s">
        <v>395</v>
      </c>
    </row>
    <row r="29" spans="2:13" ht="14.5">
      <c r="B29" s="99">
        <v>22</v>
      </c>
      <c r="C29" s="100" t="s">
        <v>65</v>
      </c>
      <c r="D29" s="101">
        <f t="shared" si="0"/>
        <v>173</v>
      </c>
      <c r="E29" s="101">
        <f t="shared" si="1"/>
        <v>180</v>
      </c>
      <c r="F29" s="101">
        <v>8</v>
      </c>
      <c r="G29" s="102" t="s">
        <v>13</v>
      </c>
      <c r="H29" s="101" t="s">
        <v>14</v>
      </c>
      <c r="I29" s="103"/>
      <c r="J29" s="115" t="s">
        <v>25</v>
      </c>
      <c r="K29" s="170" t="s">
        <v>454</v>
      </c>
      <c r="L29" s="171" t="s">
        <v>455</v>
      </c>
      <c r="M29" s="172" t="s">
        <v>455</v>
      </c>
    </row>
    <row r="30" spans="2:13" ht="14.5">
      <c r="B30" s="99">
        <v>23</v>
      </c>
      <c r="C30" s="100" t="s">
        <v>66</v>
      </c>
      <c r="D30" s="101">
        <f t="shared" si="0"/>
        <v>181</v>
      </c>
      <c r="E30" s="101">
        <f t="shared" si="1"/>
        <v>198</v>
      </c>
      <c r="F30" s="101">
        <v>18</v>
      </c>
      <c r="G30" s="102" t="s">
        <v>67</v>
      </c>
      <c r="H30" s="101" t="s">
        <v>39</v>
      </c>
      <c r="I30" s="103" t="s">
        <v>68</v>
      </c>
      <c r="J30" s="115" t="s">
        <v>25</v>
      </c>
      <c r="K30" s="170" t="s">
        <v>397</v>
      </c>
      <c r="L30" s="171" t="s">
        <v>397</v>
      </c>
      <c r="M30" s="172" t="s">
        <v>397</v>
      </c>
    </row>
    <row r="31" spans="2:13" ht="14.5">
      <c r="B31" s="99">
        <v>24</v>
      </c>
      <c r="C31" s="100" t="s">
        <v>69</v>
      </c>
      <c r="D31" s="101">
        <f t="shared" si="0"/>
        <v>199</v>
      </c>
      <c r="E31" s="101">
        <f t="shared" si="1"/>
        <v>216</v>
      </c>
      <c r="F31" s="101">
        <v>18</v>
      </c>
      <c r="G31" s="102" t="s">
        <v>67</v>
      </c>
      <c r="H31" s="101" t="s">
        <v>39</v>
      </c>
      <c r="I31" s="103" t="s">
        <v>68</v>
      </c>
      <c r="J31" s="115" t="s">
        <v>25</v>
      </c>
      <c r="K31" s="170" t="s">
        <v>397</v>
      </c>
      <c r="L31" s="171" t="s">
        <v>397</v>
      </c>
      <c r="M31" s="172" t="s">
        <v>397</v>
      </c>
    </row>
    <row r="32" spans="2:13">
      <c r="B32" s="79">
        <v>25</v>
      </c>
      <c r="C32" s="80" t="s">
        <v>70</v>
      </c>
      <c r="D32" s="81">
        <f t="shared" si="0"/>
        <v>217</v>
      </c>
      <c r="E32" s="81">
        <f t="shared" si="1"/>
        <v>234</v>
      </c>
      <c r="F32" s="81">
        <v>18</v>
      </c>
      <c r="G32" s="82" t="s">
        <v>67</v>
      </c>
      <c r="H32" s="81" t="s">
        <v>39</v>
      </c>
      <c r="I32" s="83" t="s">
        <v>68</v>
      </c>
      <c r="J32" s="115" t="s">
        <v>16</v>
      </c>
      <c r="K32" s="170" t="s">
        <v>397</v>
      </c>
      <c r="L32" s="171" t="s">
        <v>397</v>
      </c>
      <c r="M32" s="172" t="s">
        <v>397</v>
      </c>
    </row>
    <row r="33" spans="2:13">
      <c r="B33" s="79">
        <v>26</v>
      </c>
      <c r="C33" s="80" t="s">
        <v>71</v>
      </c>
      <c r="D33" s="81">
        <f t="shared" si="0"/>
        <v>235</v>
      </c>
      <c r="E33" s="81">
        <f t="shared" si="1"/>
        <v>252</v>
      </c>
      <c r="F33" s="81">
        <v>18</v>
      </c>
      <c r="G33" s="82" t="s">
        <v>67</v>
      </c>
      <c r="H33" s="81" t="s">
        <v>39</v>
      </c>
      <c r="I33" s="83" t="s">
        <v>68</v>
      </c>
      <c r="J33" s="115" t="s">
        <v>16</v>
      </c>
      <c r="K33" s="170" t="s">
        <v>397</v>
      </c>
      <c r="L33" s="171" t="s">
        <v>397</v>
      </c>
      <c r="M33" s="172" t="s">
        <v>397</v>
      </c>
    </row>
    <row r="34" spans="2:13">
      <c r="B34" s="79">
        <v>27</v>
      </c>
      <c r="C34" s="80" t="s">
        <v>72</v>
      </c>
      <c r="D34" s="81">
        <f t="shared" si="0"/>
        <v>253</v>
      </c>
      <c r="E34" s="81">
        <f t="shared" si="1"/>
        <v>402</v>
      </c>
      <c r="F34" s="81">
        <v>150</v>
      </c>
      <c r="G34" s="82" t="s">
        <v>13</v>
      </c>
      <c r="H34" s="81" t="s">
        <v>39</v>
      </c>
      <c r="I34" s="83" t="s">
        <v>73</v>
      </c>
      <c r="J34" s="115" t="s">
        <v>16</v>
      </c>
      <c r="K34" s="170" t="s">
        <v>400</v>
      </c>
      <c r="L34" s="171" t="s">
        <v>400</v>
      </c>
      <c r="M34" s="172" t="s">
        <v>400</v>
      </c>
    </row>
    <row r="35" spans="2:13">
      <c r="B35" s="79">
        <v>28</v>
      </c>
      <c r="C35" s="80" t="s">
        <v>74</v>
      </c>
      <c r="D35" s="81">
        <f t="shared" si="0"/>
        <v>403</v>
      </c>
      <c r="E35" s="81">
        <f t="shared" si="1"/>
        <v>409</v>
      </c>
      <c r="F35" s="81">
        <v>7</v>
      </c>
      <c r="G35" s="82" t="s">
        <v>13</v>
      </c>
      <c r="H35" s="81" t="s">
        <v>14</v>
      </c>
      <c r="I35" s="83" t="s">
        <v>75</v>
      </c>
      <c r="J35" s="115" t="s">
        <v>16</v>
      </c>
      <c r="K35" s="147" t="s">
        <v>401</v>
      </c>
      <c r="L35" s="147" t="s">
        <v>401</v>
      </c>
      <c r="M35" s="147" t="s">
        <v>401</v>
      </c>
    </row>
    <row r="36" spans="2:13" ht="14.5">
      <c r="B36" s="99">
        <v>29</v>
      </c>
      <c r="C36" s="100" t="s">
        <v>76</v>
      </c>
      <c r="D36" s="101">
        <f t="shared" si="0"/>
        <v>410</v>
      </c>
      <c r="E36" s="101">
        <f>+D36+F36-1</f>
        <v>418</v>
      </c>
      <c r="F36" s="101">
        <v>9</v>
      </c>
      <c r="G36" s="102" t="s">
        <v>60</v>
      </c>
      <c r="H36" s="101" t="s">
        <v>14</v>
      </c>
      <c r="I36" s="103" t="s">
        <v>77</v>
      </c>
      <c r="J36" s="115" t="s">
        <v>25</v>
      </c>
      <c r="K36" s="170" t="s">
        <v>456</v>
      </c>
      <c r="L36" s="171" t="s">
        <v>392</v>
      </c>
      <c r="M36" s="172" t="s">
        <v>392</v>
      </c>
    </row>
    <row r="37" spans="2:13" ht="23.5">
      <c r="B37" s="91">
        <v>30</v>
      </c>
      <c r="C37" s="80" t="s">
        <v>78</v>
      </c>
      <c r="D37" s="81">
        <f t="shared" si="0"/>
        <v>419</v>
      </c>
      <c r="E37" s="81">
        <f>+D37+F37-1</f>
        <v>436</v>
      </c>
      <c r="F37" s="81">
        <v>18</v>
      </c>
      <c r="G37" s="82" t="s">
        <v>67</v>
      </c>
      <c r="H37" s="81" t="s">
        <v>79</v>
      </c>
      <c r="I37" s="90" t="s">
        <v>80</v>
      </c>
      <c r="J37" s="115" t="s">
        <v>25</v>
      </c>
      <c r="K37" s="170" t="s">
        <v>457</v>
      </c>
      <c r="L37" s="171" t="s">
        <v>397</v>
      </c>
      <c r="M37" s="172" t="s">
        <v>397</v>
      </c>
    </row>
    <row r="38" spans="2:13" ht="14.5">
      <c r="B38" s="99">
        <v>31</v>
      </c>
      <c r="C38" s="100" t="s">
        <v>81</v>
      </c>
      <c r="D38" s="101">
        <f t="shared" si="0"/>
        <v>437</v>
      </c>
      <c r="E38" s="101">
        <f>+D38+F38-1</f>
        <v>454</v>
      </c>
      <c r="F38" s="101">
        <v>18</v>
      </c>
      <c r="G38" s="102" t="s">
        <v>67</v>
      </c>
      <c r="H38" s="101" t="s">
        <v>82</v>
      </c>
      <c r="I38" s="103" t="s">
        <v>68</v>
      </c>
      <c r="J38" s="115" t="s">
        <v>25</v>
      </c>
      <c r="K38" s="170" t="s">
        <v>397</v>
      </c>
      <c r="L38" s="171" t="s">
        <v>397</v>
      </c>
      <c r="M38" s="172" t="s">
        <v>397</v>
      </c>
    </row>
    <row r="39" spans="2:13">
      <c r="B39" s="79">
        <v>32</v>
      </c>
      <c r="C39" s="80" t="s">
        <v>84</v>
      </c>
      <c r="D39" s="81">
        <f t="shared" si="0"/>
        <v>455</v>
      </c>
      <c r="E39" s="81">
        <f>+D39+F39-1</f>
        <v>455</v>
      </c>
      <c r="F39" s="81">
        <v>1</v>
      </c>
      <c r="G39" s="82" t="s">
        <v>85</v>
      </c>
      <c r="H39" s="81" t="s">
        <v>14</v>
      </c>
      <c r="I39" s="83" t="s">
        <v>86</v>
      </c>
      <c r="J39" s="115" t="s">
        <v>16</v>
      </c>
      <c r="K39" s="170" t="s">
        <v>458</v>
      </c>
      <c r="L39" s="171" t="s">
        <v>402</v>
      </c>
      <c r="M39" s="172" t="s">
        <v>402</v>
      </c>
    </row>
    <row r="40" spans="2:13">
      <c r="B40" s="79">
        <v>33</v>
      </c>
      <c r="C40" s="80" t="s">
        <v>87</v>
      </c>
      <c r="D40" s="81">
        <f t="shared" si="0"/>
        <v>456</v>
      </c>
      <c r="E40" s="81">
        <f>+D40+F40-1</f>
        <v>463</v>
      </c>
      <c r="F40" s="81">
        <v>8</v>
      </c>
      <c r="G40" s="82" t="s">
        <v>13</v>
      </c>
      <c r="H40" s="81" t="s">
        <v>14</v>
      </c>
      <c r="I40" s="83" t="s">
        <v>88</v>
      </c>
      <c r="J40" s="115" t="s">
        <v>16</v>
      </c>
      <c r="K40" s="170" t="s">
        <v>459</v>
      </c>
      <c r="L40" s="171" t="s">
        <v>460</v>
      </c>
      <c r="M40" s="172" t="s">
        <v>460</v>
      </c>
    </row>
    <row r="41" spans="2:13">
      <c r="B41" s="79">
        <v>34</v>
      </c>
      <c r="C41" s="80" t="s">
        <v>89</v>
      </c>
      <c r="D41" s="81">
        <f t="shared" si="0"/>
        <v>464</v>
      </c>
      <c r="E41" s="81">
        <f t="shared" ref="E41:E70" si="2">+D41+F41-1</f>
        <v>478</v>
      </c>
      <c r="F41" s="81">
        <v>15</v>
      </c>
      <c r="G41" s="82" t="s">
        <v>13</v>
      </c>
      <c r="H41" s="81" t="s">
        <v>14</v>
      </c>
      <c r="I41" s="83" t="s">
        <v>88</v>
      </c>
      <c r="J41" s="115" t="s">
        <v>16</v>
      </c>
      <c r="K41" s="170" t="s">
        <v>461</v>
      </c>
      <c r="L41" s="171" t="s">
        <v>462</v>
      </c>
      <c r="M41" s="172" t="s">
        <v>462</v>
      </c>
    </row>
    <row r="42" spans="2:13">
      <c r="B42" s="79">
        <v>35</v>
      </c>
      <c r="C42" s="104" t="s">
        <v>90</v>
      </c>
      <c r="D42" s="105">
        <f t="shared" si="0"/>
        <v>479</v>
      </c>
      <c r="E42" s="105">
        <f t="shared" si="2"/>
        <v>480</v>
      </c>
      <c r="F42" s="105">
        <v>2</v>
      </c>
      <c r="G42" s="106" t="s">
        <v>13</v>
      </c>
      <c r="H42" s="105" t="s">
        <v>14</v>
      </c>
      <c r="I42" s="107" t="s">
        <v>91</v>
      </c>
      <c r="J42" s="115" t="s">
        <v>16</v>
      </c>
      <c r="K42" s="170" t="s">
        <v>194</v>
      </c>
      <c r="L42" s="171" t="s">
        <v>214</v>
      </c>
      <c r="M42" s="172" t="s">
        <v>214</v>
      </c>
    </row>
    <row r="43" spans="2:13">
      <c r="B43" s="79">
        <v>36</v>
      </c>
      <c r="C43" s="104" t="s">
        <v>92</v>
      </c>
      <c r="D43" s="105">
        <f t="shared" si="0"/>
        <v>481</v>
      </c>
      <c r="E43" s="105">
        <f t="shared" si="2"/>
        <v>481</v>
      </c>
      <c r="F43" s="105">
        <v>1</v>
      </c>
      <c r="G43" s="106" t="s">
        <v>13</v>
      </c>
      <c r="H43" s="105" t="s">
        <v>14</v>
      </c>
      <c r="I43" s="108" t="s">
        <v>93</v>
      </c>
      <c r="J43" s="115" t="s">
        <v>16</v>
      </c>
      <c r="K43" s="170" t="s">
        <v>407</v>
      </c>
      <c r="L43" s="171" t="s">
        <v>407</v>
      </c>
      <c r="M43" s="172" t="s">
        <v>407</v>
      </c>
    </row>
    <row r="44" spans="2:13">
      <c r="B44" s="79">
        <v>37</v>
      </c>
      <c r="C44" s="104" t="s">
        <v>94</v>
      </c>
      <c r="D44" s="105">
        <f t="shared" si="0"/>
        <v>482</v>
      </c>
      <c r="E44" s="105">
        <f t="shared" si="2"/>
        <v>482</v>
      </c>
      <c r="F44" s="105">
        <v>1</v>
      </c>
      <c r="G44" s="106" t="s">
        <v>13</v>
      </c>
      <c r="H44" s="105" t="s">
        <v>14</v>
      </c>
      <c r="I44" s="108" t="s">
        <v>95</v>
      </c>
      <c r="J44" s="115" t="s">
        <v>25</v>
      </c>
      <c r="K44" s="170" t="s">
        <v>408</v>
      </c>
      <c r="L44" s="171" t="s">
        <v>408</v>
      </c>
      <c r="M44" s="172" t="s">
        <v>408</v>
      </c>
    </row>
    <row r="45" spans="2:13">
      <c r="B45" s="79">
        <v>38</v>
      </c>
      <c r="C45" s="104" t="s">
        <v>96</v>
      </c>
      <c r="D45" s="105">
        <f t="shared" si="0"/>
        <v>483</v>
      </c>
      <c r="E45" s="105">
        <f t="shared" si="2"/>
        <v>486</v>
      </c>
      <c r="F45" s="105">
        <v>4</v>
      </c>
      <c r="G45" s="106" t="s">
        <v>85</v>
      </c>
      <c r="H45" s="105" t="s">
        <v>14</v>
      </c>
      <c r="I45" s="107" t="s">
        <v>97</v>
      </c>
      <c r="J45" s="115" t="s">
        <v>25</v>
      </c>
      <c r="K45" s="170" t="s">
        <v>409</v>
      </c>
      <c r="L45" s="171" t="s">
        <v>409</v>
      </c>
      <c r="M45" s="172" t="s">
        <v>409</v>
      </c>
    </row>
    <row r="46" spans="2:13">
      <c r="B46" s="79">
        <v>39</v>
      </c>
      <c r="C46" s="104" t="s">
        <v>98</v>
      </c>
      <c r="D46" s="105">
        <f t="shared" si="0"/>
        <v>487</v>
      </c>
      <c r="E46" s="105">
        <f t="shared" si="2"/>
        <v>494</v>
      </c>
      <c r="F46" s="105">
        <v>8</v>
      </c>
      <c r="G46" s="106" t="s">
        <v>99</v>
      </c>
      <c r="H46" s="105" t="s">
        <v>14</v>
      </c>
      <c r="I46" s="107" t="s">
        <v>100</v>
      </c>
      <c r="J46" s="115" t="s">
        <v>16</v>
      </c>
      <c r="K46" s="170" t="s">
        <v>463</v>
      </c>
      <c r="L46" s="171" t="s">
        <v>441</v>
      </c>
      <c r="M46" s="172" t="s">
        <v>441</v>
      </c>
    </row>
    <row r="47" spans="2:13">
      <c r="B47" s="79">
        <v>40</v>
      </c>
      <c r="C47" s="104" t="s">
        <v>101</v>
      </c>
      <c r="D47" s="105">
        <f t="shared" si="0"/>
        <v>495</v>
      </c>
      <c r="E47" s="105">
        <f t="shared" si="2"/>
        <v>502</v>
      </c>
      <c r="F47" s="105">
        <v>8</v>
      </c>
      <c r="G47" s="106" t="s">
        <v>99</v>
      </c>
      <c r="H47" s="105" t="s">
        <v>14</v>
      </c>
      <c r="I47" s="107" t="s">
        <v>102</v>
      </c>
      <c r="J47" s="115" t="s">
        <v>16</v>
      </c>
      <c r="K47" s="170" t="s">
        <v>463</v>
      </c>
      <c r="L47" s="171" t="s">
        <v>441</v>
      </c>
      <c r="M47" s="172" t="s">
        <v>441</v>
      </c>
    </row>
    <row r="48" spans="2:13">
      <c r="B48" s="79">
        <v>41</v>
      </c>
      <c r="C48" s="104" t="s">
        <v>103</v>
      </c>
      <c r="D48" s="105">
        <f t="shared" si="0"/>
        <v>503</v>
      </c>
      <c r="E48" s="105">
        <f t="shared" si="2"/>
        <v>505</v>
      </c>
      <c r="F48" s="105">
        <v>3</v>
      </c>
      <c r="G48" s="106" t="s">
        <v>13</v>
      </c>
      <c r="H48" s="105" t="s">
        <v>14</v>
      </c>
      <c r="I48" s="107" t="s">
        <v>91</v>
      </c>
      <c r="J48" s="115" t="s">
        <v>16</v>
      </c>
      <c r="K48" s="170" t="s">
        <v>415</v>
      </c>
      <c r="L48" s="171" t="s">
        <v>413</v>
      </c>
      <c r="M48" s="172" t="s">
        <v>413</v>
      </c>
    </row>
    <row r="49" spans="2:13">
      <c r="B49" s="79">
        <v>42</v>
      </c>
      <c r="C49" s="104" t="s">
        <v>104</v>
      </c>
      <c r="D49" s="105">
        <f t="shared" si="0"/>
        <v>506</v>
      </c>
      <c r="E49" s="105">
        <f t="shared" si="2"/>
        <v>508</v>
      </c>
      <c r="F49" s="105">
        <v>3</v>
      </c>
      <c r="G49" s="106" t="s">
        <v>13</v>
      </c>
      <c r="H49" s="105" t="s">
        <v>14</v>
      </c>
      <c r="I49" s="107" t="s">
        <v>91</v>
      </c>
      <c r="J49" s="115" t="s">
        <v>16</v>
      </c>
      <c r="K49" s="170" t="s">
        <v>413</v>
      </c>
      <c r="L49" s="171" t="s">
        <v>413</v>
      </c>
      <c r="M49" s="172" t="s">
        <v>413</v>
      </c>
    </row>
    <row r="50" spans="2:13">
      <c r="B50" s="79">
        <v>43</v>
      </c>
      <c r="C50" s="104" t="s">
        <v>105</v>
      </c>
      <c r="D50" s="105">
        <f t="shared" si="0"/>
        <v>509</v>
      </c>
      <c r="E50" s="105">
        <f t="shared" si="2"/>
        <v>511</v>
      </c>
      <c r="F50" s="105">
        <v>3</v>
      </c>
      <c r="G50" s="106" t="s">
        <v>13</v>
      </c>
      <c r="H50" s="105" t="s">
        <v>82</v>
      </c>
      <c r="I50" s="83" t="s">
        <v>106</v>
      </c>
      <c r="J50" s="115" t="s">
        <v>16</v>
      </c>
      <c r="K50" s="170" t="s">
        <v>416</v>
      </c>
      <c r="L50" s="171" t="s">
        <v>416</v>
      </c>
      <c r="M50" s="172" t="s">
        <v>416</v>
      </c>
    </row>
    <row r="51" spans="2:13">
      <c r="B51" s="79">
        <v>44</v>
      </c>
      <c r="C51" s="104" t="s">
        <v>107</v>
      </c>
      <c r="D51" s="105">
        <f t="shared" si="0"/>
        <v>512</v>
      </c>
      <c r="E51" s="105">
        <f t="shared" si="2"/>
        <v>514</v>
      </c>
      <c r="F51" s="105">
        <v>3</v>
      </c>
      <c r="G51" s="106" t="s">
        <v>13</v>
      </c>
      <c r="H51" s="105" t="s">
        <v>82</v>
      </c>
      <c r="I51" s="83" t="s">
        <v>106</v>
      </c>
      <c r="J51" s="115" t="s">
        <v>16</v>
      </c>
      <c r="K51" s="170" t="s">
        <v>413</v>
      </c>
      <c r="L51" s="171" t="s">
        <v>413</v>
      </c>
      <c r="M51" s="172" t="s">
        <v>413</v>
      </c>
    </row>
    <row r="52" spans="2:13">
      <c r="B52" s="79">
        <v>45</v>
      </c>
      <c r="C52" s="104" t="s">
        <v>108</v>
      </c>
      <c r="D52" s="105">
        <f t="shared" si="0"/>
        <v>515</v>
      </c>
      <c r="E52" s="105">
        <f t="shared" si="2"/>
        <v>524</v>
      </c>
      <c r="F52" s="105">
        <v>10</v>
      </c>
      <c r="G52" s="106" t="s">
        <v>85</v>
      </c>
      <c r="H52" s="105" t="s">
        <v>109</v>
      </c>
      <c r="I52" s="107" t="s">
        <v>110</v>
      </c>
      <c r="J52" s="115" t="s">
        <v>16</v>
      </c>
      <c r="K52" s="170" t="s">
        <v>464</v>
      </c>
      <c r="L52" s="171" t="s">
        <v>465</v>
      </c>
      <c r="M52" s="172" t="s">
        <v>466</v>
      </c>
    </row>
    <row r="53" spans="2:13">
      <c r="B53" s="79">
        <v>46</v>
      </c>
      <c r="C53" s="104" t="s">
        <v>111</v>
      </c>
      <c r="D53" s="105">
        <f t="shared" si="0"/>
        <v>525</v>
      </c>
      <c r="E53" s="105">
        <f t="shared" si="2"/>
        <v>538</v>
      </c>
      <c r="F53" s="105">
        <v>14</v>
      </c>
      <c r="G53" s="82" t="s">
        <v>112</v>
      </c>
      <c r="H53" s="105" t="s">
        <v>113</v>
      </c>
      <c r="I53" s="107" t="s">
        <v>114</v>
      </c>
      <c r="J53" s="115" t="s">
        <v>16</v>
      </c>
      <c r="K53" s="170" t="s">
        <v>419</v>
      </c>
      <c r="L53" s="171" t="s">
        <v>467</v>
      </c>
      <c r="M53" s="172" t="s">
        <v>467</v>
      </c>
    </row>
    <row r="54" spans="2:13">
      <c r="B54" s="79">
        <v>47</v>
      </c>
      <c r="C54" s="104" t="s">
        <v>115</v>
      </c>
      <c r="D54" s="105">
        <f t="shared" si="0"/>
        <v>539</v>
      </c>
      <c r="E54" s="105">
        <f t="shared" si="2"/>
        <v>558</v>
      </c>
      <c r="F54" s="105">
        <v>20</v>
      </c>
      <c r="G54" s="106" t="s">
        <v>13</v>
      </c>
      <c r="H54" s="105" t="s">
        <v>109</v>
      </c>
      <c r="I54" s="107" t="s">
        <v>116</v>
      </c>
      <c r="J54" s="115" t="s">
        <v>16</v>
      </c>
      <c r="K54" s="170" t="s">
        <v>468</v>
      </c>
      <c r="L54" s="171" t="s">
        <v>469</v>
      </c>
      <c r="M54" s="172" t="s">
        <v>469</v>
      </c>
    </row>
    <row r="55" spans="2:13">
      <c r="B55" s="79">
        <v>48</v>
      </c>
      <c r="C55" s="104" t="s">
        <v>117</v>
      </c>
      <c r="D55" s="105">
        <f t="shared" si="0"/>
        <v>559</v>
      </c>
      <c r="E55" s="105">
        <f t="shared" si="2"/>
        <v>576</v>
      </c>
      <c r="F55" s="105">
        <v>18</v>
      </c>
      <c r="G55" s="106" t="s">
        <v>67</v>
      </c>
      <c r="H55" s="105" t="s">
        <v>118</v>
      </c>
      <c r="I55" s="107" t="s">
        <v>119</v>
      </c>
      <c r="J55" s="115" t="s">
        <v>16</v>
      </c>
      <c r="K55" s="170" t="s">
        <v>397</v>
      </c>
      <c r="L55" s="171" t="s">
        <v>397</v>
      </c>
      <c r="M55" s="172" t="s">
        <v>397</v>
      </c>
    </row>
    <row r="56" spans="2:13">
      <c r="B56" s="79">
        <v>49</v>
      </c>
      <c r="C56" s="80" t="s">
        <v>120</v>
      </c>
      <c r="D56" s="81">
        <f t="shared" si="0"/>
        <v>577</v>
      </c>
      <c r="E56" s="81">
        <f t="shared" si="2"/>
        <v>584</v>
      </c>
      <c r="F56" s="81">
        <v>8</v>
      </c>
      <c r="G56" s="82" t="s">
        <v>121</v>
      </c>
      <c r="H56" s="81" t="s">
        <v>82</v>
      </c>
      <c r="I56" s="83" t="s">
        <v>122</v>
      </c>
      <c r="J56" s="115" t="s">
        <v>16</v>
      </c>
      <c r="K56" s="170" t="s">
        <v>422</v>
      </c>
      <c r="L56" s="171" t="s">
        <v>422</v>
      </c>
      <c r="M56" s="172" t="s">
        <v>422</v>
      </c>
    </row>
    <row r="57" spans="2:13" ht="23.5">
      <c r="B57" s="91">
        <v>50</v>
      </c>
      <c r="C57" s="80" t="s">
        <v>123</v>
      </c>
      <c r="D57" s="81">
        <f t="shared" si="0"/>
        <v>585</v>
      </c>
      <c r="E57" s="81">
        <f t="shared" si="2"/>
        <v>598</v>
      </c>
      <c r="F57" s="81">
        <v>14</v>
      </c>
      <c r="G57" s="82" t="s">
        <v>13</v>
      </c>
      <c r="H57" s="81" t="s">
        <v>109</v>
      </c>
      <c r="I57" s="90" t="s">
        <v>124</v>
      </c>
      <c r="J57" s="115" t="s">
        <v>16</v>
      </c>
      <c r="K57" s="170" t="s">
        <v>419</v>
      </c>
      <c r="L57" s="171" t="s">
        <v>419</v>
      </c>
      <c r="M57" s="172" t="s">
        <v>419</v>
      </c>
    </row>
    <row r="58" spans="2:13">
      <c r="B58" s="79">
        <v>51</v>
      </c>
      <c r="C58" s="80" t="s">
        <v>125</v>
      </c>
      <c r="D58" s="81">
        <f t="shared" si="0"/>
        <v>599</v>
      </c>
      <c r="E58" s="81">
        <f t="shared" si="2"/>
        <v>601</v>
      </c>
      <c r="F58" s="81">
        <v>3</v>
      </c>
      <c r="G58" s="82" t="s">
        <v>13</v>
      </c>
      <c r="H58" s="81" t="s">
        <v>109</v>
      </c>
      <c r="I58" s="83" t="s">
        <v>91</v>
      </c>
      <c r="J58" s="115" t="s">
        <v>16</v>
      </c>
      <c r="K58" s="170" t="s">
        <v>423</v>
      </c>
      <c r="L58" s="171" t="s">
        <v>423</v>
      </c>
      <c r="M58" s="172" t="s">
        <v>423</v>
      </c>
    </row>
    <row r="59" spans="2:13">
      <c r="B59" s="79">
        <v>52</v>
      </c>
      <c r="C59" s="80" t="s">
        <v>126</v>
      </c>
      <c r="D59" s="81">
        <f t="shared" si="0"/>
        <v>602</v>
      </c>
      <c r="E59" s="81">
        <f t="shared" si="2"/>
        <v>608</v>
      </c>
      <c r="F59" s="81">
        <v>7</v>
      </c>
      <c r="G59" s="82" t="s">
        <v>13</v>
      </c>
      <c r="H59" s="81" t="s">
        <v>127</v>
      </c>
      <c r="I59" s="83" t="s">
        <v>88</v>
      </c>
      <c r="J59" s="115" t="s">
        <v>16</v>
      </c>
      <c r="K59" s="170" t="s">
        <v>425</v>
      </c>
      <c r="L59" s="171" t="s">
        <v>425</v>
      </c>
      <c r="M59" s="172" t="s">
        <v>425</v>
      </c>
    </row>
    <row r="60" spans="2:13">
      <c r="B60" s="79">
        <v>53</v>
      </c>
      <c r="C60" s="80" t="s">
        <v>128</v>
      </c>
      <c r="D60" s="81">
        <f t="shared" si="0"/>
        <v>609</v>
      </c>
      <c r="E60" s="81">
        <f t="shared" si="2"/>
        <v>616</v>
      </c>
      <c r="F60" s="81">
        <v>8</v>
      </c>
      <c r="G60" s="82" t="s">
        <v>13</v>
      </c>
      <c r="H60" s="81" t="s">
        <v>127</v>
      </c>
      <c r="I60" s="83" t="s">
        <v>88</v>
      </c>
      <c r="J60" s="115" t="s">
        <v>16</v>
      </c>
      <c r="K60" s="170" t="s">
        <v>396</v>
      </c>
      <c r="L60" s="171" t="s">
        <v>396</v>
      </c>
      <c r="M60" s="172" t="s">
        <v>396</v>
      </c>
    </row>
    <row r="61" spans="2:13">
      <c r="B61" s="79">
        <v>54</v>
      </c>
      <c r="C61" s="80" t="s">
        <v>129</v>
      </c>
      <c r="D61" s="81">
        <f t="shared" si="0"/>
        <v>617</v>
      </c>
      <c r="E61" s="81">
        <f t="shared" si="2"/>
        <v>631</v>
      </c>
      <c r="F61" s="81">
        <v>15</v>
      </c>
      <c r="G61" s="82" t="s">
        <v>13</v>
      </c>
      <c r="H61" s="81" t="s">
        <v>127</v>
      </c>
      <c r="I61" s="83" t="s">
        <v>88</v>
      </c>
      <c r="J61" s="115" t="s">
        <v>16</v>
      </c>
      <c r="K61" s="170" t="s">
        <v>426</v>
      </c>
      <c r="L61" s="171" t="s">
        <v>426</v>
      </c>
      <c r="M61" s="172" t="s">
        <v>426</v>
      </c>
    </row>
    <row r="62" spans="2:13">
      <c r="B62" s="79">
        <v>55</v>
      </c>
      <c r="C62" s="80" t="s">
        <v>44</v>
      </c>
      <c r="D62" s="81">
        <f t="shared" si="0"/>
        <v>632</v>
      </c>
      <c r="E62" s="81">
        <f t="shared" si="2"/>
        <v>646</v>
      </c>
      <c r="F62" s="81">
        <v>15</v>
      </c>
      <c r="G62" s="82" t="s">
        <v>130</v>
      </c>
      <c r="H62" s="81" t="s">
        <v>14</v>
      </c>
      <c r="I62" s="83" t="s">
        <v>131</v>
      </c>
      <c r="J62" s="115" t="s">
        <v>132</v>
      </c>
      <c r="K62" s="170" t="s">
        <v>470</v>
      </c>
      <c r="L62" s="171" t="s">
        <v>471</v>
      </c>
      <c r="M62" s="172" t="s">
        <v>471</v>
      </c>
    </row>
    <row r="63" spans="2:13" ht="23.5">
      <c r="B63" s="91">
        <v>56</v>
      </c>
      <c r="C63" s="80" t="s">
        <v>47</v>
      </c>
      <c r="D63" s="81">
        <f t="shared" si="0"/>
        <v>647</v>
      </c>
      <c r="E63" s="81">
        <f t="shared" si="2"/>
        <v>661</v>
      </c>
      <c r="F63" s="81">
        <v>15</v>
      </c>
      <c r="G63" s="82" t="s">
        <v>130</v>
      </c>
      <c r="H63" s="81" t="s">
        <v>14</v>
      </c>
      <c r="I63" s="90" t="s">
        <v>133</v>
      </c>
      <c r="J63" s="115" t="s">
        <v>132</v>
      </c>
      <c r="K63" s="170" t="s">
        <v>472</v>
      </c>
      <c r="L63" s="171" t="s">
        <v>471</v>
      </c>
      <c r="M63" s="172" t="s">
        <v>471</v>
      </c>
    </row>
    <row r="64" spans="2:13">
      <c r="B64" s="79">
        <v>57</v>
      </c>
      <c r="C64" s="80" t="s">
        <v>134</v>
      </c>
      <c r="D64" s="81">
        <f t="shared" si="0"/>
        <v>662</v>
      </c>
      <c r="E64" s="81">
        <f t="shared" si="2"/>
        <v>671</v>
      </c>
      <c r="F64" s="81">
        <v>10</v>
      </c>
      <c r="G64" s="82" t="s">
        <v>13</v>
      </c>
      <c r="H64" s="81" t="s">
        <v>14</v>
      </c>
      <c r="I64" s="83" t="s">
        <v>135</v>
      </c>
      <c r="J64" s="115" t="s">
        <v>16</v>
      </c>
      <c r="K64" s="170" t="s">
        <v>430</v>
      </c>
      <c r="L64" s="171" t="s">
        <v>473</v>
      </c>
      <c r="M64" s="172" t="s">
        <v>473</v>
      </c>
    </row>
    <row r="65" spans="2:13" ht="23.5">
      <c r="B65" s="91">
        <v>58</v>
      </c>
      <c r="C65" s="80" t="s">
        <v>136</v>
      </c>
      <c r="D65" s="81">
        <f t="shared" si="0"/>
        <v>672</v>
      </c>
      <c r="E65" s="81">
        <f t="shared" si="2"/>
        <v>685</v>
      </c>
      <c r="F65" s="81">
        <v>14</v>
      </c>
      <c r="G65" s="82" t="s">
        <v>85</v>
      </c>
      <c r="H65" s="81" t="s">
        <v>109</v>
      </c>
      <c r="I65" s="90" t="s">
        <v>137</v>
      </c>
      <c r="J65" s="115" t="s">
        <v>16</v>
      </c>
      <c r="K65" s="170" t="s">
        <v>419</v>
      </c>
      <c r="L65" s="171" t="s">
        <v>419</v>
      </c>
      <c r="M65" s="172" t="s">
        <v>419</v>
      </c>
    </row>
    <row r="66" spans="2:13" ht="23.5">
      <c r="B66" s="91">
        <v>59</v>
      </c>
      <c r="C66" s="109" t="s">
        <v>138</v>
      </c>
      <c r="D66" s="110">
        <f t="shared" si="0"/>
        <v>686</v>
      </c>
      <c r="E66" s="110">
        <f t="shared" si="2"/>
        <v>699</v>
      </c>
      <c r="F66" s="110">
        <v>14</v>
      </c>
      <c r="G66" s="111" t="s">
        <v>85</v>
      </c>
      <c r="H66" s="110" t="s">
        <v>109</v>
      </c>
      <c r="I66" s="112" t="s">
        <v>139</v>
      </c>
      <c r="J66" s="115" t="s">
        <v>16</v>
      </c>
      <c r="K66" s="170" t="s">
        <v>419</v>
      </c>
      <c r="L66" s="171" t="s">
        <v>419</v>
      </c>
      <c r="M66" s="172" t="s">
        <v>419</v>
      </c>
    </row>
    <row r="67" spans="2:13">
      <c r="B67" s="79">
        <v>60</v>
      </c>
      <c r="C67" s="80" t="s">
        <v>140</v>
      </c>
      <c r="D67" s="81">
        <f t="shared" si="0"/>
        <v>700</v>
      </c>
      <c r="E67" s="81">
        <f t="shared" si="2"/>
        <v>707</v>
      </c>
      <c r="F67" s="81">
        <v>8</v>
      </c>
      <c r="G67" s="82" t="s">
        <v>13</v>
      </c>
      <c r="H67" s="81" t="s">
        <v>109</v>
      </c>
      <c r="I67" s="83" t="s">
        <v>88</v>
      </c>
      <c r="J67" s="164" t="s">
        <v>16</v>
      </c>
      <c r="K67" s="170" t="s">
        <v>432</v>
      </c>
      <c r="L67" s="171" t="s">
        <v>432</v>
      </c>
      <c r="M67" s="172" t="s">
        <v>432</v>
      </c>
    </row>
    <row r="68" spans="2:13">
      <c r="B68" s="79">
        <v>61</v>
      </c>
      <c r="C68" s="80" t="s">
        <v>141</v>
      </c>
      <c r="D68" s="81">
        <f t="shared" si="0"/>
        <v>708</v>
      </c>
      <c r="E68" s="81">
        <f t="shared" si="2"/>
        <v>710</v>
      </c>
      <c r="F68" s="81">
        <v>3</v>
      </c>
      <c r="G68" s="82" t="s">
        <v>13</v>
      </c>
      <c r="H68" s="81" t="s">
        <v>82</v>
      </c>
      <c r="I68" s="83" t="s">
        <v>91</v>
      </c>
      <c r="J68" s="164" t="s">
        <v>16</v>
      </c>
      <c r="K68" s="170" t="s">
        <v>413</v>
      </c>
      <c r="L68" s="171" t="s">
        <v>413</v>
      </c>
      <c r="M68" s="172" t="s">
        <v>413</v>
      </c>
    </row>
    <row r="69" spans="2:13">
      <c r="B69" s="79">
        <v>62</v>
      </c>
      <c r="C69" s="80" t="s">
        <v>142</v>
      </c>
      <c r="D69" s="81">
        <f t="shared" si="0"/>
        <v>711</v>
      </c>
      <c r="E69" s="81">
        <f t="shared" si="2"/>
        <v>727</v>
      </c>
      <c r="F69" s="81">
        <v>17</v>
      </c>
      <c r="G69" s="82" t="s">
        <v>52</v>
      </c>
      <c r="H69" s="81" t="s">
        <v>82</v>
      </c>
      <c r="I69" s="83" t="s">
        <v>143</v>
      </c>
      <c r="J69" s="164" t="s">
        <v>16</v>
      </c>
      <c r="K69" s="170" t="s">
        <v>387</v>
      </c>
      <c r="L69" s="171" t="s">
        <v>387</v>
      </c>
      <c r="M69" s="172" t="s">
        <v>387</v>
      </c>
    </row>
    <row r="70" spans="2:13">
      <c r="B70" s="114">
        <v>63</v>
      </c>
      <c r="C70" s="82" t="s">
        <v>144</v>
      </c>
      <c r="D70" s="81">
        <f t="shared" si="0"/>
        <v>728</v>
      </c>
      <c r="E70" s="81">
        <f t="shared" si="2"/>
        <v>797</v>
      </c>
      <c r="F70" s="81">
        <v>70</v>
      </c>
      <c r="G70" s="82" t="s">
        <v>13</v>
      </c>
      <c r="H70" s="81" t="s">
        <v>109</v>
      </c>
      <c r="I70" s="83" t="s">
        <v>145</v>
      </c>
      <c r="J70" s="115" t="s">
        <v>16</v>
      </c>
      <c r="K70" s="170" t="s">
        <v>433</v>
      </c>
      <c r="L70" s="171" t="s">
        <v>433</v>
      </c>
      <c r="M70" s="172" t="s">
        <v>433</v>
      </c>
    </row>
    <row r="71" spans="2:13" ht="14.5" thickBot="1">
      <c r="B71" s="114">
        <v>64</v>
      </c>
      <c r="C71" s="82" t="s">
        <v>146</v>
      </c>
      <c r="D71" s="81">
        <f>+E69+1</f>
        <v>728</v>
      </c>
      <c r="E71" s="81">
        <f>+D71+F71-1</f>
        <v>736</v>
      </c>
      <c r="F71" s="81">
        <v>9</v>
      </c>
      <c r="G71" s="82" t="s">
        <v>13</v>
      </c>
      <c r="H71" s="81" t="s">
        <v>109</v>
      </c>
      <c r="I71" s="83" t="s">
        <v>147</v>
      </c>
      <c r="J71" s="115" t="s">
        <v>16</v>
      </c>
      <c r="K71" s="173" t="s">
        <v>434</v>
      </c>
      <c r="L71" s="174" t="s">
        <v>434</v>
      </c>
      <c r="M71" s="175" t="s">
        <v>434</v>
      </c>
    </row>
    <row r="72" spans="2:13" ht="14.5" thickBot="1">
      <c r="B72" s="116">
        <v>65</v>
      </c>
      <c r="C72" s="117" t="s">
        <v>148</v>
      </c>
      <c r="D72" s="118">
        <f>+E70+1</f>
        <v>798</v>
      </c>
      <c r="E72" s="118">
        <f>+D72+F72-1</f>
        <v>817</v>
      </c>
      <c r="F72" s="118">
        <v>20</v>
      </c>
      <c r="G72" s="119" t="s">
        <v>13</v>
      </c>
      <c r="H72" s="118" t="s">
        <v>109</v>
      </c>
      <c r="I72" s="120" t="s">
        <v>149</v>
      </c>
      <c r="J72" s="115" t="s">
        <v>16</v>
      </c>
    </row>
    <row r="73" spans="2:13">
      <c r="B73" s="121"/>
      <c r="C73" s="122"/>
      <c r="D73" s="123"/>
      <c r="E73" s="123"/>
      <c r="F73" s="123"/>
      <c r="G73" s="122"/>
      <c r="H73" s="123"/>
      <c r="I73" s="122"/>
      <c r="J73" s="67"/>
    </row>
    <row r="74" spans="2:13">
      <c r="B74" s="124"/>
      <c r="C74" s="125" t="s">
        <v>150</v>
      </c>
      <c r="D74" s="126"/>
      <c r="E74" s="126"/>
      <c r="F74" s="126"/>
      <c r="G74" s="127"/>
      <c r="H74" s="126"/>
      <c r="I74" s="127"/>
      <c r="J74" s="128"/>
    </row>
    <row r="75" spans="2:13">
      <c r="B75" s="124"/>
      <c r="C75" s="129" t="s">
        <v>151</v>
      </c>
      <c r="D75" s="126"/>
      <c r="E75" s="126"/>
      <c r="F75" s="126"/>
      <c r="G75" s="127"/>
      <c r="H75" s="126"/>
      <c r="I75" s="127"/>
      <c r="J75" s="128"/>
    </row>
    <row r="76" spans="2:13">
      <c r="B76" s="124"/>
      <c r="C76" s="129" t="s">
        <v>152</v>
      </c>
      <c r="D76" s="126"/>
      <c r="E76" s="126"/>
      <c r="F76" s="126"/>
      <c r="G76" s="127"/>
      <c r="H76" s="126"/>
      <c r="I76" s="127"/>
      <c r="J76" s="128"/>
    </row>
    <row r="77" spans="2:13">
      <c r="B77" s="124"/>
      <c r="C77" s="129" t="s">
        <v>153</v>
      </c>
      <c r="D77" s="126"/>
      <c r="E77" s="126"/>
      <c r="F77" s="126"/>
      <c r="G77" s="127"/>
      <c r="H77" s="126"/>
      <c r="I77" s="127"/>
      <c r="J77" s="128"/>
    </row>
    <row r="78" spans="2:13" ht="27.75" customHeight="1">
      <c r="B78" s="124"/>
      <c r="C78" s="129"/>
      <c r="D78" s="126"/>
      <c r="E78" s="126"/>
      <c r="F78" s="126"/>
      <c r="G78" s="127"/>
      <c r="H78" s="126"/>
      <c r="I78" s="127"/>
      <c r="J78" s="128"/>
    </row>
    <row r="79" spans="2:13">
      <c r="B79" s="130"/>
      <c r="C79" s="199" t="s">
        <v>154</v>
      </c>
      <c r="D79" s="200"/>
      <c r="E79" s="200"/>
      <c r="F79" s="200"/>
      <c r="G79" s="200"/>
      <c r="H79" s="200"/>
      <c r="J79" s="128"/>
    </row>
    <row r="80" spans="2:13" ht="27.75" customHeight="1">
      <c r="B80" s="130"/>
      <c r="C80" s="125"/>
      <c r="J80" s="128"/>
    </row>
    <row r="81" spans="2:10">
      <c r="B81" s="130"/>
      <c r="C81" s="199" t="s">
        <v>155</v>
      </c>
      <c r="D81" s="200"/>
      <c r="E81" s="200"/>
      <c r="F81" s="200"/>
      <c r="G81" s="200"/>
      <c r="H81" s="200"/>
      <c r="J81" s="128"/>
    </row>
    <row r="82" spans="2:10" ht="14.5" thickBot="1">
      <c r="B82" s="68"/>
      <c r="C82" s="131"/>
      <c r="D82" s="131"/>
      <c r="E82" s="131"/>
      <c r="F82" s="131"/>
      <c r="G82" s="131"/>
      <c r="H82" s="131"/>
      <c r="I82" s="131"/>
      <c r="J82" s="72"/>
    </row>
  </sheetData>
  <mergeCells count="3">
    <mergeCell ref="K6:M7"/>
    <mergeCell ref="C79:H79"/>
    <mergeCell ref="C81:H81"/>
  </mergeCells>
  <pageMargins left="0.7" right="0.7" top="0.75" bottom="0.75" header="0.3" footer="0.3"/>
  <pageSetup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76157-D72C-4039-B156-1A709426400D}">
  <sheetPr>
    <tabColor rgb="FFFF0000"/>
  </sheetPr>
  <dimension ref="B1:L82"/>
  <sheetViews>
    <sheetView topLeftCell="A7" workbookViewId="0">
      <selection activeCell="I7" sqref="I7"/>
    </sheetView>
  </sheetViews>
  <sheetFormatPr defaultColWidth="12.453125" defaultRowHeight="14"/>
  <cols>
    <col min="1" max="2" width="3.81640625" style="59" customWidth="1"/>
    <col min="3" max="3" width="37.7265625" style="59" bestFit="1" customWidth="1"/>
    <col min="4" max="4" width="6.54296875" style="59" bestFit="1" customWidth="1"/>
    <col min="5" max="5" width="5.54296875" style="59" bestFit="1" customWidth="1"/>
    <col min="6" max="6" width="5.81640625" style="59" bestFit="1" customWidth="1"/>
    <col min="7" max="7" width="12.1796875" style="59" bestFit="1" customWidth="1"/>
    <col min="8" max="8" width="9.81640625" style="59" bestFit="1" customWidth="1"/>
    <col min="9" max="9" width="73.1796875" style="59" customWidth="1"/>
    <col min="10" max="10" width="5.453125" style="61" bestFit="1" customWidth="1"/>
    <col min="11" max="11" width="13.54296875" style="176" customWidth="1"/>
    <col min="12" max="12" width="14.1796875" style="176" customWidth="1"/>
    <col min="13" max="256" width="12.453125" style="59"/>
    <col min="257" max="258" width="3.81640625" style="59" customWidth="1"/>
    <col min="259" max="259" width="37.7265625" style="59" bestFit="1" customWidth="1"/>
    <col min="260" max="260" width="6.54296875" style="59" bestFit="1" customWidth="1"/>
    <col min="261" max="261" width="5.54296875" style="59" bestFit="1" customWidth="1"/>
    <col min="262" max="262" width="5.81640625" style="59" bestFit="1" customWidth="1"/>
    <col min="263" max="263" width="12.1796875" style="59" bestFit="1" customWidth="1"/>
    <col min="264" max="264" width="9.81640625" style="59" bestFit="1" customWidth="1"/>
    <col min="265" max="265" width="73.1796875" style="59" customWidth="1"/>
    <col min="266" max="266" width="5.453125" style="59" bestFit="1" customWidth="1"/>
    <col min="267" max="267" width="13.54296875" style="59" customWidth="1"/>
    <col min="268" max="268" width="14.1796875" style="59" customWidth="1"/>
    <col min="269" max="512" width="12.453125" style="59"/>
    <col min="513" max="514" width="3.81640625" style="59" customWidth="1"/>
    <col min="515" max="515" width="37.7265625" style="59" bestFit="1" customWidth="1"/>
    <col min="516" max="516" width="6.54296875" style="59" bestFit="1" customWidth="1"/>
    <col min="517" max="517" width="5.54296875" style="59" bestFit="1" customWidth="1"/>
    <col min="518" max="518" width="5.81640625" style="59" bestFit="1" customWidth="1"/>
    <col min="519" max="519" width="12.1796875" style="59" bestFit="1" customWidth="1"/>
    <col min="520" max="520" width="9.81640625" style="59" bestFit="1" customWidth="1"/>
    <col min="521" max="521" width="73.1796875" style="59" customWidth="1"/>
    <col min="522" max="522" width="5.453125" style="59" bestFit="1" customWidth="1"/>
    <col min="523" max="523" width="13.54296875" style="59" customWidth="1"/>
    <col min="524" max="524" width="14.1796875" style="59" customWidth="1"/>
    <col min="525" max="768" width="12.453125" style="59"/>
    <col min="769" max="770" width="3.81640625" style="59" customWidth="1"/>
    <col min="771" max="771" width="37.7265625" style="59" bestFit="1" customWidth="1"/>
    <col min="772" max="772" width="6.54296875" style="59" bestFit="1" customWidth="1"/>
    <col min="773" max="773" width="5.54296875" style="59" bestFit="1" customWidth="1"/>
    <col min="774" max="774" width="5.81640625" style="59" bestFit="1" customWidth="1"/>
    <col min="775" max="775" width="12.1796875" style="59" bestFit="1" customWidth="1"/>
    <col min="776" max="776" width="9.81640625" style="59" bestFit="1" customWidth="1"/>
    <col min="777" max="777" width="73.1796875" style="59" customWidth="1"/>
    <col min="778" max="778" width="5.453125" style="59" bestFit="1" customWidth="1"/>
    <col min="779" max="779" width="13.54296875" style="59" customWidth="1"/>
    <col min="780" max="780" width="14.1796875" style="59" customWidth="1"/>
    <col min="781" max="1024" width="12.453125" style="59"/>
    <col min="1025" max="1026" width="3.81640625" style="59" customWidth="1"/>
    <col min="1027" max="1027" width="37.7265625" style="59" bestFit="1" customWidth="1"/>
    <col min="1028" max="1028" width="6.54296875" style="59" bestFit="1" customWidth="1"/>
    <col min="1029" max="1029" width="5.54296875" style="59" bestFit="1" customWidth="1"/>
    <col min="1030" max="1030" width="5.81640625" style="59" bestFit="1" customWidth="1"/>
    <col min="1031" max="1031" width="12.1796875" style="59" bestFit="1" customWidth="1"/>
    <col min="1032" max="1032" width="9.81640625" style="59" bestFit="1" customWidth="1"/>
    <col min="1033" max="1033" width="73.1796875" style="59" customWidth="1"/>
    <col min="1034" max="1034" width="5.453125" style="59" bestFit="1" customWidth="1"/>
    <col min="1035" max="1035" width="13.54296875" style="59" customWidth="1"/>
    <col min="1036" max="1036" width="14.1796875" style="59" customWidth="1"/>
    <col min="1037" max="1280" width="12.453125" style="59"/>
    <col min="1281" max="1282" width="3.81640625" style="59" customWidth="1"/>
    <col min="1283" max="1283" width="37.7265625" style="59" bestFit="1" customWidth="1"/>
    <col min="1284" max="1284" width="6.54296875" style="59" bestFit="1" customWidth="1"/>
    <col min="1285" max="1285" width="5.54296875" style="59" bestFit="1" customWidth="1"/>
    <col min="1286" max="1286" width="5.81640625" style="59" bestFit="1" customWidth="1"/>
    <col min="1287" max="1287" width="12.1796875" style="59" bestFit="1" customWidth="1"/>
    <col min="1288" max="1288" width="9.81640625" style="59" bestFit="1" customWidth="1"/>
    <col min="1289" max="1289" width="73.1796875" style="59" customWidth="1"/>
    <col min="1290" max="1290" width="5.453125" style="59" bestFit="1" customWidth="1"/>
    <col min="1291" max="1291" width="13.54296875" style="59" customWidth="1"/>
    <col min="1292" max="1292" width="14.1796875" style="59" customWidth="1"/>
    <col min="1293" max="1536" width="12.453125" style="59"/>
    <col min="1537" max="1538" width="3.81640625" style="59" customWidth="1"/>
    <col min="1539" max="1539" width="37.7265625" style="59" bestFit="1" customWidth="1"/>
    <col min="1540" max="1540" width="6.54296875" style="59" bestFit="1" customWidth="1"/>
    <col min="1541" max="1541" width="5.54296875" style="59" bestFit="1" customWidth="1"/>
    <col min="1542" max="1542" width="5.81640625" style="59" bestFit="1" customWidth="1"/>
    <col min="1543" max="1543" width="12.1796875" style="59" bestFit="1" customWidth="1"/>
    <col min="1544" max="1544" width="9.81640625" style="59" bestFit="1" customWidth="1"/>
    <col min="1545" max="1545" width="73.1796875" style="59" customWidth="1"/>
    <col min="1546" max="1546" width="5.453125" style="59" bestFit="1" customWidth="1"/>
    <col min="1547" max="1547" width="13.54296875" style="59" customWidth="1"/>
    <col min="1548" max="1548" width="14.1796875" style="59" customWidth="1"/>
    <col min="1549" max="1792" width="12.453125" style="59"/>
    <col min="1793" max="1794" width="3.81640625" style="59" customWidth="1"/>
    <col min="1795" max="1795" width="37.7265625" style="59" bestFit="1" customWidth="1"/>
    <col min="1796" max="1796" width="6.54296875" style="59" bestFit="1" customWidth="1"/>
    <col min="1797" max="1797" width="5.54296875" style="59" bestFit="1" customWidth="1"/>
    <col min="1798" max="1798" width="5.81640625" style="59" bestFit="1" customWidth="1"/>
    <col min="1799" max="1799" width="12.1796875" style="59" bestFit="1" customWidth="1"/>
    <col min="1800" max="1800" width="9.81640625" style="59" bestFit="1" customWidth="1"/>
    <col min="1801" max="1801" width="73.1796875" style="59" customWidth="1"/>
    <col min="1802" max="1802" width="5.453125" style="59" bestFit="1" customWidth="1"/>
    <col min="1803" max="1803" width="13.54296875" style="59" customWidth="1"/>
    <col min="1804" max="1804" width="14.1796875" style="59" customWidth="1"/>
    <col min="1805" max="2048" width="12.453125" style="59"/>
    <col min="2049" max="2050" width="3.81640625" style="59" customWidth="1"/>
    <col min="2051" max="2051" width="37.7265625" style="59" bestFit="1" customWidth="1"/>
    <col min="2052" max="2052" width="6.54296875" style="59" bestFit="1" customWidth="1"/>
    <col min="2053" max="2053" width="5.54296875" style="59" bestFit="1" customWidth="1"/>
    <col min="2054" max="2054" width="5.81640625" style="59" bestFit="1" customWidth="1"/>
    <col min="2055" max="2055" width="12.1796875" style="59" bestFit="1" customWidth="1"/>
    <col min="2056" max="2056" width="9.81640625" style="59" bestFit="1" customWidth="1"/>
    <col min="2057" max="2057" width="73.1796875" style="59" customWidth="1"/>
    <col min="2058" max="2058" width="5.453125" style="59" bestFit="1" customWidth="1"/>
    <col min="2059" max="2059" width="13.54296875" style="59" customWidth="1"/>
    <col min="2060" max="2060" width="14.1796875" style="59" customWidth="1"/>
    <col min="2061" max="2304" width="12.453125" style="59"/>
    <col min="2305" max="2306" width="3.81640625" style="59" customWidth="1"/>
    <col min="2307" max="2307" width="37.7265625" style="59" bestFit="1" customWidth="1"/>
    <col min="2308" max="2308" width="6.54296875" style="59" bestFit="1" customWidth="1"/>
    <col min="2309" max="2309" width="5.54296875" style="59" bestFit="1" customWidth="1"/>
    <col min="2310" max="2310" width="5.81640625" style="59" bestFit="1" customWidth="1"/>
    <col min="2311" max="2311" width="12.1796875" style="59" bestFit="1" customWidth="1"/>
    <col min="2312" max="2312" width="9.81640625" style="59" bestFit="1" customWidth="1"/>
    <col min="2313" max="2313" width="73.1796875" style="59" customWidth="1"/>
    <col min="2314" max="2314" width="5.453125" style="59" bestFit="1" customWidth="1"/>
    <col min="2315" max="2315" width="13.54296875" style="59" customWidth="1"/>
    <col min="2316" max="2316" width="14.1796875" style="59" customWidth="1"/>
    <col min="2317" max="2560" width="12.453125" style="59"/>
    <col min="2561" max="2562" width="3.81640625" style="59" customWidth="1"/>
    <col min="2563" max="2563" width="37.7265625" style="59" bestFit="1" customWidth="1"/>
    <col min="2564" max="2564" width="6.54296875" style="59" bestFit="1" customWidth="1"/>
    <col min="2565" max="2565" width="5.54296875" style="59" bestFit="1" customWidth="1"/>
    <col min="2566" max="2566" width="5.81640625" style="59" bestFit="1" customWidth="1"/>
    <col min="2567" max="2567" width="12.1796875" style="59" bestFit="1" customWidth="1"/>
    <col min="2568" max="2568" width="9.81640625" style="59" bestFit="1" customWidth="1"/>
    <col min="2569" max="2569" width="73.1796875" style="59" customWidth="1"/>
    <col min="2570" max="2570" width="5.453125" style="59" bestFit="1" customWidth="1"/>
    <col min="2571" max="2571" width="13.54296875" style="59" customWidth="1"/>
    <col min="2572" max="2572" width="14.1796875" style="59" customWidth="1"/>
    <col min="2573" max="2816" width="12.453125" style="59"/>
    <col min="2817" max="2818" width="3.81640625" style="59" customWidth="1"/>
    <col min="2819" max="2819" width="37.7265625" style="59" bestFit="1" customWidth="1"/>
    <col min="2820" max="2820" width="6.54296875" style="59" bestFit="1" customWidth="1"/>
    <col min="2821" max="2821" width="5.54296875" style="59" bestFit="1" customWidth="1"/>
    <col min="2822" max="2822" width="5.81640625" style="59" bestFit="1" customWidth="1"/>
    <col min="2823" max="2823" width="12.1796875" style="59" bestFit="1" customWidth="1"/>
    <col min="2824" max="2824" width="9.81640625" style="59" bestFit="1" customWidth="1"/>
    <col min="2825" max="2825" width="73.1796875" style="59" customWidth="1"/>
    <col min="2826" max="2826" width="5.453125" style="59" bestFit="1" customWidth="1"/>
    <col min="2827" max="2827" width="13.54296875" style="59" customWidth="1"/>
    <col min="2828" max="2828" width="14.1796875" style="59" customWidth="1"/>
    <col min="2829" max="3072" width="12.453125" style="59"/>
    <col min="3073" max="3074" width="3.81640625" style="59" customWidth="1"/>
    <col min="3075" max="3075" width="37.7265625" style="59" bestFit="1" customWidth="1"/>
    <col min="3076" max="3076" width="6.54296875" style="59" bestFit="1" customWidth="1"/>
    <col min="3077" max="3077" width="5.54296875" style="59" bestFit="1" customWidth="1"/>
    <col min="3078" max="3078" width="5.81640625" style="59" bestFit="1" customWidth="1"/>
    <col min="3079" max="3079" width="12.1796875" style="59" bestFit="1" customWidth="1"/>
    <col min="3080" max="3080" width="9.81640625" style="59" bestFit="1" customWidth="1"/>
    <col min="3081" max="3081" width="73.1796875" style="59" customWidth="1"/>
    <col min="3082" max="3082" width="5.453125" style="59" bestFit="1" customWidth="1"/>
    <col min="3083" max="3083" width="13.54296875" style="59" customWidth="1"/>
    <col min="3084" max="3084" width="14.1796875" style="59" customWidth="1"/>
    <col min="3085" max="3328" width="12.453125" style="59"/>
    <col min="3329" max="3330" width="3.81640625" style="59" customWidth="1"/>
    <col min="3331" max="3331" width="37.7265625" style="59" bestFit="1" customWidth="1"/>
    <col min="3332" max="3332" width="6.54296875" style="59" bestFit="1" customWidth="1"/>
    <col min="3333" max="3333" width="5.54296875" style="59" bestFit="1" customWidth="1"/>
    <col min="3334" max="3334" width="5.81640625" style="59" bestFit="1" customWidth="1"/>
    <col min="3335" max="3335" width="12.1796875" style="59" bestFit="1" customWidth="1"/>
    <col min="3336" max="3336" width="9.81640625" style="59" bestFit="1" customWidth="1"/>
    <col min="3337" max="3337" width="73.1796875" style="59" customWidth="1"/>
    <col min="3338" max="3338" width="5.453125" style="59" bestFit="1" customWidth="1"/>
    <col min="3339" max="3339" width="13.54296875" style="59" customWidth="1"/>
    <col min="3340" max="3340" width="14.1796875" style="59" customWidth="1"/>
    <col min="3341" max="3584" width="12.453125" style="59"/>
    <col min="3585" max="3586" width="3.81640625" style="59" customWidth="1"/>
    <col min="3587" max="3587" width="37.7265625" style="59" bestFit="1" customWidth="1"/>
    <col min="3588" max="3588" width="6.54296875" style="59" bestFit="1" customWidth="1"/>
    <col min="3589" max="3589" width="5.54296875" style="59" bestFit="1" customWidth="1"/>
    <col min="3590" max="3590" width="5.81640625" style="59" bestFit="1" customWidth="1"/>
    <col min="3591" max="3591" width="12.1796875" style="59" bestFit="1" customWidth="1"/>
    <col min="3592" max="3592" width="9.81640625" style="59" bestFit="1" customWidth="1"/>
    <col min="3593" max="3593" width="73.1796875" style="59" customWidth="1"/>
    <col min="3594" max="3594" width="5.453125" style="59" bestFit="1" customWidth="1"/>
    <col min="3595" max="3595" width="13.54296875" style="59" customWidth="1"/>
    <col min="3596" max="3596" width="14.1796875" style="59" customWidth="1"/>
    <col min="3597" max="3840" width="12.453125" style="59"/>
    <col min="3841" max="3842" width="3.81640625" style="59" customWidth="1"/>
    <col min="3843" max="3843" width="37.7265625" style="59" bestFit="1" customWidth="1"/>
    <col min="3844" max="3844" width="6.54296875" style="59" bestFit="1" customWidth="1"/>
    <col min="3845" max="3845" width="5.54296875" style="59" bestFit="1" customWidth="1"/>
    <col min="3846" max="3846" width="5.81640625" style="59" bestFit="1" customWidth="1"/>
    <col min="3847" max="3847" width="12.1796875" style="59" bestFit="1" customWidth="1"/>
    <col min="3848" max="3848" width="9.81640625" style="59" bestFit="1" customWidth="1"/>
    <col min="3849" max="3849" width="73.1796875" style="59" customWidth="1"/>
    <col min="3850" max="3850" width="5.453125" style="59" bestFit="1" customWidth="1"/>
    <col min="3851" max="3851" width="13.54296875" style="59" customWidth="1"/>
    <col min="3852" max="3852" width="14.1796875" style="59" customWidth="1"/>
    <col min="3853" max="4096" width="12.453125" style="59"/>
    <col min="4097" max="4098" width="3.81640625" style="59" customWidth="1"/>
    <col min="4099" max="4099" width="37.7265625" style="59" bestFit="1" customWidth="1"/>
    <col min="4100" max="4100" width="6.54296875" style="59" bestFit="1" customWidth="1"/>
    <col min="4101" max="4101" width="5.54296875" style="59" bestFit="1" customWidth="1"/>
    <col min="4102" max="4102" width="5.81640625" style="59" bestFit="1" customWidth="1"/>
    <col min="4103" max="4103" width="12.1796875" style="59" bestFit="1" customWidth="1"/>
    <col min="4104" max="4104" width="9.81640625" style="59" bestFit="1" customWidth="1"/>
    <col min="4105" max="4105" width="73.1796875" style="59" customWidth="1"/>
    <col min="4106" max="4106" width="5.453125" style="59" bestFit="1" customWidth="1"/>
    <col min="4107" max="4107" width="13.54296875" style="59" customWidth="1"/>
    <col min="4108" max="4108" width="14.1796875" style="59" customWidth="1"/>
    <col min="4109" max="4352" width="12.453125" style="59"/>
    <col min="4353" max="4354" width="3.81640625" style="59" customWidth="1"/>
    <col min="4355" max="4355" width="37.7265625" style="59" bestFit="1" customWidth="1"/>
    <col min="4356" max="4356" width="6.54296875" style="59" bestFit="1" customWidth="1"/>
    <col min="4357" max="4357" width="5.54296875" style="59" bestFit="1" customWidth="1"/>
    <col min="4358" max="4358" width="5.81640625" style="59" bestFit="1" customWidth="1"/>
    <col min="4359" max="4359" width="12.1796875" style="59" bestFit="1" customWidth="1"/>
    <col min="4360" max="4360" width="9.81640625" style="59" bestFit="1" customWidth="1"/>
    <col min="4361" max="4361" width="73.1796875" style="59" customWidth="1"/>
    <col min="4362" max="4362" width="5.453125" style="59" bestFit="1" customWidth="1"/>
    <col min="4363" max="4363" width="13.54296875" style="59" customWidth="1"/>
    <col min="4364" max="4364" width="14.1796875" style="59" customWidth="1"/>
    <col min="4365" max="4608" width="12.453125" style="59"/>
    <col min="4609" max="4610" width="3.81640625" style="59" customWidth="1"/>
    <col min="4611" max="4611" width="37.7265625" style="59" bestFit="1" customWidth="1"/>
    <col min="4612" max="4612" width="6.54296875" style="59" bestFit="1" customWidth="1"/>
    <col min="4613" max="4613" width="5.54296875" style="59" bestFit="1" customWidth="1"/>
    <col min="4614" max="4614" width="5.81640625" style="59" bestFit="1" customWidth="1"/>
    <col min="4615" max="4615" width="12.1796875" style="59" bestFit="1" customWidth="1"/>
    <col min="4616" max="4616" width="9.81640625" style="59" bestFit="1" customWidth="1"/>
    <col min="4617" max="4617" width="73.1796875" style="59" customWidth="1"/>
    <col min="4618" max="4618" width="5.453125" style="59" bestFit="1" customWidth="1"/>
    <col min="4619" max="4619" width="13.54296875" style="59" customWidth="1"/>
    <col min="4620" max="4620" width="14.1796875" style="59" customWidth="1"/>
    <col min="4621" max="4864" width="12.453125" style="59"/>
    <col min="4865" max="4866" width="3.81640625" style="59" customWidth="1"/>
    <col min="4867" max="4867" width="37.7265625" style="59" bestFit="1" customWidth="1"/>
    <col min="4868" max="4868" width="6.54296875" style="59" bestFit="1" customWidth="1"/>
    <col min="4869" max="4869" width="5.54296875" style="59" bestFit="1" customWidth="1"/>
    <col min="4870" max="4870" width="5.81640625" style="59" bestFit="1" customWidth="1"/>
    <col min="4871" max="4871" width="12.1796875" style="59" bestFit="1" customWidth="1"/>
    <col min="4872" max="4872" width="9.81640625" style="59" bestFit="1" customWidth="1"/>
    <col min="4873" max="4873" width="73.1796875" style="59" customWidth="1"/>
    <col min="4874" max="4874" width="5.453125" style="59" bestFit="1" customWidth="1"/>
    <col min="4875" max="4875" width="13.54296875" style="59" customWidth="1"/>
    <col min="4876" max="4876" width="14.1796875" style="59" customWidth="1"/>
    <col min="4877" max="5120" width="12.453125" style="59"/>
    <col min="5121" max="5122" width="3.81640625" style="59" customWidth="1"/>
    <col min="5123" max="5123" width="37.7265625" style="59" bestFit="1" customWidth="1"/>
    <col min="5124" max="5124" width="6.54296875" style="59" bestFit="1" customWidth="1"/>
    <col min="5125" max="5125" width="5.54296875" style="59" bestFit="1" customWidth="1"/>
    <col min="5126" max="5126" width="5.81640625" style="59" bestFit="1" customWidth="1"/>
    <col min="5127" max="5127" width="12.1796875" style="59" bestFit="1" customWidth="1"/>
    <col min="5128" max="5128" width="9.81640625" style="59" bestFit="1" customWidth="1"/>
    <col min="5129" max="5129" width="73.1796875" style="59" customWidth="1"/>
    <col min="5130" max="5130" width="5.453125" style="59" bestFit="1" customWidth="1"/>
    <col min="5131" max="5131" width="13.54296875" style="59" customWidth="1"/>
    <col min="5132" max="5132" width="14.1796875" style="59" customWidth="1"/>
    <col min="5133" max="5376" width="12.453125" style="59"/>
    <col min="5377" max="5378" width="3.81640625" style="59" customWidth="1"/>
    <col min="5379" max="5379" width="37.7265625" style="59" bestFit="1" customWidth="1"/>
    <col min="5380" max="5380" width="6.54296875" style="59" bestFit="1" customWidth="1"/>
    <col min="5381" max="5381" width="5.54296875" style="59" bestFit="1" customWidth="1"/>
    <col min="5382" max="5382" width="5.81640625" style="59" bestFit="1" customWidth="1"/>
    <col min="5383" max="5383" width="12.1796875" style="59" bestFit="1" customWidth="1"/>
    <col min="5384" max="5384" width="9.81640625" style="59" bestFit="1" customWidth="1"/>
    <col min="5385" max="5385" width="73.1796875" style="59" customWidth="1"/>
    <col min="5386" max="5386" width="5.453125" style="59" bestFit="1" customWidth="1"/>
    <col min="5387" max="5387" width="13.54296875" style="59" customWidth="1"/>
    <col min="5388" max="5388" width="14.1796875" style="59" customWidth="1"/>
    <col min="5389" max="5632" width="12.453125" style="59"/>
    <col min="5633" max="5634" width="3.81640625" style="59" customWidth="1"/>
    <col min="5635" max="5635" width="37.7265625" style="59" bestFit="1" customWidth="1"/>
    <col min="5636" max="5636" width="6.54296875" style="59" bestFit="1" customWidth="1"/>
    <col min="5637" max="5637" width="5.54296875" style="59" bestFit="1" customWidth="1"/>
    <col min="5638" max="5638" width="5.81640625" style="59" bestFit="1" customWidth="1"/>
    <col min="5639" max="5639" width="12.1796875" style="59" bestFit="1" customWidth="1"/>
    <col min="5640" max="5640" width="9.81640625" style="59" bestFit="1" customWidth="1"/>
    <col min="5641" max="5641" width="73.1796875" style="59" customWidth="1"/>
    <col min="5642" max="5642" width="5.453125" style="59" bestFit="1" customWidth="1"/>
    <col min="5643" max="5643" width="13.54296875" style="59" customWidth="1"/>
    <col min="5644" max="5644" width="14.1796875" style="59" customWidth="1"/>
    <col min="5645" max="5888" width="12.453125" style="59"/>
    <col min="5889" max="5890" width="3.81640625" style="59" customWidth="1"/>
    <col min="5891" max="5891" width="37.7265625" style="59" bestFit="1" customWidth="1"/>
    <col min="5892" max="5892" width="6.54296875" style="59" bestFit="1" customWidth="1"/>
    <col min="5893" max="5893" width="5.54296875" style="59" bestFit="1" customWidth="1"/>
    <col min="5894" max="5894" width="5.81640625" style="59" bestFit="1" customWidth="1"/>
    <col min="5895" max="5895" width="12.1796875" style="59" bestFit="1" customWidth="1"/>
    <col min="5896" max="5896" width="9.81640625" style="59" bestFit="1" customWidth="1"/>
    <col min="5897" max="5897" width="73.1796875" style="59" customWidth="1"/>
    <col min="5898" max="5898" width="5.453125" style="59" bestFit="1" customWidth="1"/>
    <col min="5899" max="5899" width="13.54296875" style="59" customWidth="1"/>
    <col min="5900" max="5900" width="14.1796875" style="59" customWidth="1"/>
    <col min="5901" max="6144" width="12.453125" style="59"/>
    <col min="6145" max="6146" width="3.81640625" style="59" customWidth="1"/>
    <col min="6147" max="6147" width="37.7265625" style="59" bestFit="1" customWidth="1"/>
    <col min="6148" max="6148" width="6.54296875" style="59" bestFit="1" customWidth="1"/>
    <col min="6149" max="6149" width="5.54296875" style="59" bestFit="1" customWidth="1"/>
    <col min="6150" max="6150" width="5.81640625" style="59" bestFit="1" customWidth="1"/>
    <col min="6151" max="6151" width="12.1796875" style="59" bestFit="1" customWidth="1"/>
    <col min="6152" max="6152" width="9.81640625" style="59" bestFit="1" customWidth="1"/>
    <col min="6153" max="6153" width="73.1796875" style="59" customWidth="1"/>
    <col min="6154" max="6154" width="5.453125" style="59" bestFit="1" customWidth="1"/>
    <col min="6155" max="6155" width="13.54296875" style="59" customWidth="1"/>
    <col min="6156" max="6156" width="14.1796875" style="59" customWidth="1"/>
    <col min="6157" max="6400" width="12.453125" style="59"/>
    <col min="6401" max="6402" width="3.81640625" style="59" customWidth="1"/>
    <col min="6403" max="6403" width="37.7265625" style="59" bestFit="1" customWidth="1"/>
    <col min="6404" max="6404" width="6.54296875" style="59" bestFit="1" customWidth="1"/>
    <col min="6405" max="6405" width="5.54296875" style="59" bestFit="1" customWidth="1"/>
    <col min="6406" max="6406" width="5.81640625" style="59" bestFit="1" customWidth="1"/>
    <col min="6407" max="6407" width="12.1796875" style="59" bestFit="1" customWidth="1"/>
    <col min="6408" max="6408" width="9.81640625" style="59" bestFit="1" customWidth="1"/>
    <col min="6409" max="6409" width="73.1796875" style="59" customWidth="1"/>
    <col min="6410" max="6410" width="5.453125" style="59" bestFit="1" customWidth="1"/>
    <col min="6411" max="6411" width="13.54296875" style="59" customWidth="1"/>
    <col min="6412" max="6412" width="14.1796875" style="59" customWidth="1"/>
    <col min="6413" max="6656" width="12.453125" style="59"/>
    <col min="6657" max="6658" width="3.81640625" style="59" customWidth="1"/>
    <col min="6659" max="6659" width="37.7265625" style="59" bestFit="1" customWidth="1"/>
    <col min="6660" max="6660" width="6.54296875" style="59" bestFit="1" customWidth="1"/>
    <col min="6661" max="6661" width="5.54296875" style="59" bestFit="1" customWidth="1"/>
    <col min="6662" max="6662" width="5.81640625" style="59" bestFit="1" customWidth="1"/>
    <col min="6663" max="6663" width="12.1796875" style="59" bestFit="1" customWidth="1"/>
    <col min="6664" max="6664" width="9.81640625" style="59" bestFit="1" customWidth="1"/>
    <col min="6665" max="6665" width="73.1796875" style="59" customWidth="1"/>
    <col min="6666" max="6666" width="5.453125" style="59" bestFit="1" customWidth="1"/>
    <col min="6667" max="6667" width="13.54296875" style="59" customWidth="1"/>
    <col min="6668" max="6668" width="14.1796875" style="59" customWidth="1"/>
    <col min="6669" max="6912" width="12.453125" style="59"/>
    <col min="6913" max="6914" width="3.81640625" style="59" customWidth="1"/>
    <col min="6915" max="6915" width="37.7265625" style="59" bestFit="1" customWidth="1"/>
    <col min="6916" max="6916" width="6.54296875" style="59" bestFit="1" customWidth="1"/>
    <col min="6917" max="6917" width="5.54296875" style="59" bestFit="1" customWidth="1"/>
    <col min="6918" max="6918" width="5.81640625" style="59" bestFit="1" customWidth="1"/>
    <col min="6919" max="6919" width="12.1796875" style="59" bestFit="1" customWidth="1"/>
    <col min="6920" max="6920" width="9.81640625" style="59" bestFit="1" customWidth="1"/>
    <col min="6921" max="6921" width="73.1796875" style="59" customWidth="1"/>
    <col min="6922" max="6922" width="5.453125" style="59" bestFit="1" customWidth="1"/>
    <col min="6923" max="6923" width="13.54296875" style="59" customWidth="1"/>
    <col min="6924" max="6924" width="14.1796875" style="59" customWidth="1"/>
    <col min="6925" max="7168" width="12.453125" style="59"/>
    <col min="7169" max="7170" width="3.81640625" style="59" customWidth="1"/>
    <col min="7171" max="7171" width="37.7265625" style="59" bestFit="1" customWidth="1"/>
    <col min="7172" max="7172" width="6.54296875" style="59" bestFit="1" customWidth="1"/>
    <col min="7173" max="7173" width="5.54296875" style="59" bestFit="1" customWidth="1"/>
    <col min="7174" max="7174" width="5.81640625" style="59" bestFit="1" customWidth="1"/>
    <col min="7175" max="7175" width="12.1796875" style="59" bestFit="1" customWidth="1"/>
    <col min="7176" max="7176" width="9.81640625" style="59" bestFit="1" customWidth="1"/>
    <col min="7177" max="7177" width="73.1796875" style="59" customWidth="1"/>
    <col min="7178" max="7178" width="5.453125" style="59" bestFit="1" customWidth="1"/>
    <col min="7179" max="7179" width="13.54296875" style="59" customWidth="1"/>
    <col min="7180" max="7180" width="14.1796875" style="59" customWidth="1"/>
    <col min="7181" max="7424" width="12.453125" style="59"/>
    <col min="7425" max="7426" width="3.81640625" style="59" customWidth="1"/>
    <col min="7427" max="7427" width="37.7265625" style="59" bestFit="1" customWidth="1"/>
    <col min="7428" max="7428" width="6.54296875" style="59" bestFit="1" customWidth="1"/>
    <col min="7429" max="7429" width="5.54296875" style="59" bestFit="1" customWidth="1"/>
    <col min="7430" max="7430" width="5.81640625" style="59" bestFit="1" customWidth="1"/>
    <col min="7431" max="7431" width="12.1796875" style="59" bestFit="1" customWidth="1"/>
    <col min="7432" max="7432" width="9.81640625" style="59" bestFit="1" customWidth="1"/>
    <col min="7433" max="7433" width="73.1796875" style="59" customWidth="1"/>
    <col min="7434" max="7434" width="5.453125" style="59" bestFit="1" customWidth="1"/>
    <col min="7435" max="7435" width="13.54296875" style="59" customWidth="1"/>
    <col min="7436" max="7436" width="14.1796875" style="59" customWidth="1"/>
    <col min="7437" max="7680" width="12.453125" style="59"/>
    <col min="7681" max="7682" width="3.81640625" style="59" customWidth="1"/>
    <col min="7683" max="7683" width="37.7265625" style="59" bestFit="1" customWidth="1"/>
    <col min="7684" max="7684" width="6.54296875" style="59" bestFit="1" customWidth="1"/>
    <col min="7685" max="7685" width="5.54296875" style="59" bestFit="1" customWidth="1"/>
    <col min="7686" max="7686" width="5.81640625" style="59" bestFit="1" customWidth="1"/>
    <col min="7687" max="7687" width="12.1796875" style="59" bestFit="1" customWidth="1"/>
    <col min="7688" max="7688" width="9.81640625" style="59" bestFit="1" customWidth="1"/>
    <col min="7689" max="7689" width="73.1796875" style="59" customWidth="1"/>
    <col min="7690" max="7690" width="5.453125" style="59" bestFit="1" customWidth="1"/>
    <col min="7691" max="7691" width="13.54296875" style="59" customWidth="1"/>
    <col min="7692" max="7692" width="14.1796875" style="59" customWidth="1"/>
    <col min="7693" max="7936" width="12.453125" style="59"/>
    <col min="7937" max="7938" width="3.81640625" style="59" customWidth="1"/>
    <col min="7939" max="7939" width="37.7265625" style="59" bestFit="1" customWidth="1"/>
    <col min="7940" max="7940" width="6.54296875" style="59" bestFit="1" customWidth="1"/>
    <col min="7941" max="7941" width="5.54296875" style="59" bestFit="1" customWidth="1"/>
    <col min="7942" max="7942" width="5.81640625" style="59" bestFit="1" customWidth="1"/>
    <col min="7943" max="7943" width="12.1796875" style="59" bestFit="1" customWidth="1"/>
    <col min="7944" max="7944" width="9.81640625" style="59" bestFit="1" customWidth="1"/>
    <col min="7945" max="7945" width="73.1796875" style="59" customWidth="1"/>
    <col min="7946" max="7946" width="5.453125" style="59" bestFit="1" customWidth="1"/>
    <col min="7947" max="7947" width="13.54296875" style="59" customWidth="1"/>
    <col min="7948" max="7948" width="14.1796875" style="59" customWidth="1"/>
    <col min="7949" max="8192" width="12.453125" style="59"/>
    <col min="8193" max="8194" width="3.81640625" style="59" customWidth="1"/>
    <col min="8195" max="8195" width="37.7265625" style="59" bestFit="1" customWidth="1"/>
    <col min="8196" max="8196" width="6.54296875" style="59" bestFit="1" customWidth="1"/>
    <col min="8197" max="8197" width="5.54296875" style="59" bestFit="1" customWidth="1"/>
    <col min="8198" max="8198" width="5.81640625" style="59" bestFit="1" customWidth="1"/>
    <col min="8199" max="8199" width="12.1796875" style="59" bestFit="1" customWidth="1"/>
    <col min="8200" max="8200" width="9.81640625" style="59" bestFit="1" customWidth="1"/>
    <col min="8201" max="8201" width="73.1796875" style="59" customWidth="1"/>
    <col min="8202" max="8202" width="5.453125" style="59" bestFit="1" customWidth="1"/>
    <col min="8203" max="8203" width="13.54296875" style="59" customWidth="1"/>
    <col min="8204" max="8204" width="14.1796875" style="59" customWidth="1"/>
    <col min="8205" max="8448" width="12.453125" style="59"/>
    <col min="8449" max="8450" width="3.81640625" style="59" customWidth="1"/>
    <col min="8451" max="8451" width="37.7265625" style="59" bestFit="1" customWidth="1"/>
    <col min="8452" max="8452" width="6.54296875" style="59" bestFit="1" customWidth="1"/>
    <col min="8453" max="8453" width="5.54296875" style="59" bestFit="1" customWidth="1"/>
    <col min="8454" max="8454" width="5.81640625" style="59" bestFit="1" customWidth="1"/>
    <col min="8455" max="8455" width="12.1796875" style="59" bestFit="1" customWidth="1"/>
    <col min="8456" max="8456" width="9.81640625" style="59" bestFit="1" customWidth="1"/>
    <col min="8457" max="8457" width="73.1796875" style="59" customWidth="1"/>
    <col min="8458" max="8458" width="5.453125" style="59" bestFit="1" customWidth="1"/>
    <col min="8459" max="8459" width="13.54296875" style="59" customWidth="1"/>
    <col min="8460" max="8460" width="14.1796875" style="59" customWidth="1"/>
    <col min="8461" max="8704" width="12.453125" style="59"/>
    <col min="8705" max="8706" width="3.81640625" style="59" customWidth="1"/>
    <col min="8707" max="8707" width="37.7265625" style="59" bestFit="1" customWidth="1"/>
    <col min="8708" max="8708" width="6.54296875" style="59" bestFit="1" customWidth="1"/>
    <col min="8709" max="8709" width="5.54296875" style="59" bestFit="1" customWidth="1"/>
    <col min="8710" max="8710" width="5.81640625" style="59" bestFit="1" customWidth="1"/>
    <col min="8711" max="8711" width="12.1796875" style="59" bestFit="1" customWidth="1"/>
    <col min="8712" max="8712" width="9.81640625" style="59" bestFit="1" customWidth="1"/>
    <col min="8713" max="8713" width="73.1796875" style="59" customWidth="1"/>
    <col min="8714" max="8714" width="5.453125" style="59" bestFit="1" customWidth="1"/>
    <col min="8715" max="8715" width="13.54296875" style="59" customWidth="1"/>
    <col min="8716" max="8716" width="14.1796875" style="59" customWidth="1"/>
    <col min="8717" max="8960" width="12.453125" style="59"/>
    <col min="8961" max="8962" width="3.81640625" style="59" customWidth="1"/>
    <col min="8963" max="8963" width="37.7265625" style="59" bestFit="1" customWidth="1"/>
    <col min="8964" max="8964" width="6.54296875" style="59" bestFit="1" customWidth="1"/>
    <col min="8965" max="8965" width="5.54296875" style="59" bestFit="1" customWidth="1"/>
    <col min="8966" max="8966" width="5.81640625" style="59" bestFit="1" customWidth="1"/>
    <col min="8967" max="8967" width="12.1796875" style="59" bestFit="1" customWidth="1"/>
    <col min="8968" max="8968" width="9.81640625" style="59" bestFit="1" customWidth="1"/>
    <col min="8969" max="8969" width="73.1796875" style="59" customWidth="1"/>
    <col min="8970" max="8970" width="5.453125" style="59" bestFit="1" customWidth="1"/>
    <col min="8971" max="8971" width="13.54296875" style="59" customWidth="1"/>
    <col min="8972" max="8972" width="14.1796875" style="59" customWidth="1"/>
    <col min="8973" max="9216" width="12.453125" style="59"/>
    <col min="9217" max="9218" width="3.81640625" style="59" customWidth="1"/>
    <col min="9219" max="9219" width="37.7265625" style="59" bestFit="1" customWidth="1"/>
    <col min="9220" max="9220" width="6.54296875" style="59" bestFit="1" customWidth="1"/>
    <col min="9221" max="9221" width="5.54296875" style="59" bestFit="1" customWidth="1"/>
    <col min="9222" max="9222" width="5.81640625" style="59" bestFit="1" customWidth="1"/>
    <col min="9223" max="9223" width="12.1796875" style="59" bestFit="1" customWidth="1"/>
    <col min="9224" max="9224" width="9.81640625" style="59" bestFit="1" customWidth="1"/>
    <col min="9225" max="9225" width="73.1796875" style="59" customWidth="1"/>
    <col min="9226" max="9226" width="5.453125" style="59" bestFit="1" customWidth="1"/>
    <col min="9227" max="9227" width="13.54296875" style="59" customWidth="1"/>
    <col min="9228" max="9228" width="14.1796875" style="59" customWidth="1"/>
    <col min="9229" max="9472" width="12.453125" style="59"/>
    <col min="9473" max="9474" width="3.81640625" style="59" customWidth="1"/>
    <col min="9475" max="9475" width="37.7265625" style="59" bestFit="1" customWidth="1"/>
    <col min="9476" max="9476" width="6.54296875" style="59" bestFit="1" customWidth="1"/>
    <col min="9477" max="9477" width="5.54296875" style="59" bestFit="1" customWidth="1"/>
    <col min="9478" max="9478" width="5.81640625" style="59" bestFit="1" customWidth="1"/>
    <col min="9479" max="9479" width="12.1796875" style="59" bestFit="1" customWidth="1"/>
    <col min="9480" max="9480" width="9.81640625" style="59" bestFit="1" customWidth="1"/>
    <col min="9481" max="9481" width="73.1796875" style="59" customWidth="1"/>
    <col min="9482" max="9482" width="5.453125" style="59" bestFit="1" customWidth="1"/>
    <col min="9483" max="9483" width="13.54296875" style="59" customWidth="1"/>
    <col min="9484" max="9484" width="14.1796875" style="59" customWidth="1"/>
    <col min="9485" max="9728" width="12.453125" style="59"/>
    <col min="9729" max="9730" width="3.81640625" style="59" customWidth="1"/>
    <col min="9731" max="9731" width="37.7265625" style="59" bestFit="1" customWidth="1"/>
    <col min="9732" max="9732" width="6.54296875" style="59" bestFit="1" customWidth="1"/>
    <col min="9733" max="9733" width="5.54296875" style="59" bestFit="1" customWidth="1"/>
    <col min="9734" max="9734" width="5.81640625" style="59" bestFit="1" customWidth="1"/>
    <col min="9735" max="9735" width="12.1796875" style="59" bestFit="1" customWidth="1"/>
    <col min="9736" max="9736" width="9.81640625" style="59" bestFit="1" customWidth="1"/>
    <col min="9737" max="9737" width="73.1796875" style="59" customWidth="1"/>
    <col min="9738" max="9738" width="5.453125" style="59" bestFit="1" customWidth="1"/>
    <col min="9739" max="9739" width="13.54296875" style="59" customWidth="1"/>
    <col min="9740" max="9740" width="14.1796875" style="59" customWidth="1"/>
    <col min="9741" max="9984" width="12.453125" style="59"/>
    <col min="9985" max="9986" width="3.81640625" style="59" customWidth="1"/>
    <col min="9987" max="9987" width="37.7265625" style="59" bestFit="1" customWidth="1"/>
    <col min="9988" max="9988" width="6.54296875" style="59" bestFit="1" customWidth="1"/>
    <col min="9989" max="9989" width="5.54296875" style="59" bestFit="1" customWidth="1"/>
    <col min="9990" max="9990" width="5.81640625" style="59" bestFit="1" customWidth="1"/>
    <col min="9991" max="9991" width="12.1796875" style="59" bestFit="1" customWidth="1"/>
    <col min="9992" max="9992" width="9.81640625" style="59" bestFit="1" customWidth="1"/>
    <col min="9993" max="9993" width="73.1796875" style="59" customWidth="1"/>
    <col min="9994" max="9994" width="5.453125" style="59" bestFit="1" customWidth="1"/>
    <col min="9995" max="9995" width="13.54296875" style="59" customWidth="1"/>
    <col min="9996" max="9996" width="14.1796875" style="59" customWidth="1"/>
    <col min="9997" max="10240" width="12.453125" style="59"/>
    <col min="10241" max="10242" width="3.81640625" style="59" customWidth="1"/>
    <col min="10243" max="10243" width="37.7265625" style="59" bestFit="1" customWidth="1"/>
    <col min="10244" max="10244" width="6.54296875" style="59" bestFit="1" customWidth="1"/>
    <col min="10245" max="10245" width="5.54296875" style="59" bestFit="1" customWidth="1"/>
    <col min="10246" max="10246" width="5.81640625" style="59" bestFit="1" customWidth="1"/>
    <col min="10247" max="10247" width="12.1796875" style="59" bestFit="1" customWidth="1"/>
    <col min="10248" max="10248" width="9.81640625" style="59" bestFit="1" customWidth="1"/>
    <col min="10249" max="10249" width="73.1796875" style="59" customWidth="1"/>
    <col min="10250" max="10250" width="5.453125" style="59" bestFit="1" customWidth="1"/>
    <col min="10251" max="10251" width="13.54296875" style="59" customWidth="1"/>
    <col min="10252" max="10252" width="14.1796875" style="59" customWidth="1"/>
    <col min="10253" max="10496" width="12.453125" style="59"/>
    <col min="10497" max="10498" width="3.81640625" style="59" customWidth="1"/>
    <col min="10499" max="10499" width="37.7265625" style="59" bestFit="1" customWidth="1"/>
    <col min="10500" max="10500" width="6.54296875" style="59" bestFit="1" customWidth="1"/>
    <col min="10501" max="10501" width="5.54296875" style="59" bestFit="1" customWidth="1"/>
    <col min="10502" max="10502" width="5.81640625" style="59" bestFit="1" customWidth="1"/>
    <col min="10503" max="10503" width="12.1796875" style="59" bestFit="1" customWidth="1"/>
    <col min="10504" max="10504" width="9.81640625" style="59" bestFit="1" customWidth="1"/>
    <col min="10505" max="10505" width="73.1796875" style="59" customWidth="1"/>
    <col min="10506" max="10506" width="5.453125" style="59" bestFit="1" customWidth="1"/>
    <col min="10507" max="10507" width="13.54296875" style="59" customWidth="1"/>
    <col min="10508" max="10508" width="14.1796875" style="59" customWidth="1"/>
    <col min="10509" max="10752" width="12.453125" style="59"/>
    <col min="10753" max="10754" width="3.81640625" style="59" customWidth="1"/>
    <col min="10755" max="10755" width="37.7265625" style="59" bestFit="1" customWidth="1"/>
    <col min="10756" max="10756" width="6.54296875" style="59" bestFit="1" customWidth="1"/>
    <col min="10757" max="10757" width="5.54296875" style="59" bestFit="1" customWidth="1"/>
    <col min="10758" max="10758" width="5.81640625" style="59" bestFit="1" customWidth="1"/>
    <col min="10759" max="10759" width="12.1796875" style="59" bestFit="1" customWidth="1"/>
    <col min="10760" max="10760" width="9.81640625" style="59" bestFit="1" customWidth="1"/>
    <col min="10761" max="10761" width="73.1796875" style="59" customWidth="1"/>
    <col min="10762" max="10762" width="5.453125" style="59" bestFit="1" customWidth="1"/>
    <col min="10763" max="10763" width="13.54296875" style="59" customWidth="1"/>
    <col min="10764" max="10764" width="14.1796875" style="59" customWidth="1"/>
    <col min="10765" max="11008" width="12.453125" style="59"/>
    <col min="11009" max="11010" width="3.81640625" style="59" customWidth="1"/>
    <col min="11011" max="11011" width="37.7265625" style="59" bestFit="1" customWidth="1"/>
    <col min="11012" max="11012" width="6.54296875" style="59" bestFit="1" customWidth="1"/>
    <col min="11013" max="11013" width="5.54296875" style="59" bestFit="1" customWidth="1"/>
    <col min="11014" max="11014" width="5.81640625" style="59" bestFit="1" customWidth="1"/>
    <col min="11015" max="11015" width="12.1796875" style="59" bestFit="1" customWidth="1"/>
    <col min="11016" max="11016" width="9.81640625" style="59" bestFit="1" customWidth="1"/>
    <col min="11017" max="11017" width="73.1796875" style="59" customWidth="1"/>
    <col min="11018" max="11018" width="5.453125" style="59" bestFit="1" customWidth="1"/>
    <col min="11019" max="11019" width="13.54296875" style="59" customWidth="1"/>
    <col min="11020" max="11020" width="14.1796875" style="59" customWidth="1"/>
    <col min="11021" max="11264" width="12.453125" style="59"/>
    <col min="11265" max="11266" width="3.81640625" style="59" customWidth="1"/>
    <col min="11267" max="11267" width="37.7265625" style="59" bestFit="1" customWidth="1"/>
    <col min="11268" max="11268" width="6.54296875" style="59" bestFit="1" customWidth="1"/>
    <col min="11269" max="11269" width="5.54296875" style="59" bestFit="1" customWidth="1"/>
    <col min="11270" max="11270" width="5.81640625" style="59" bestFit="1" customWidth="1"/>
    <col min="11271" max="11271" width="12.1796875" style="59" bestFit="1" customWidth="1"/>
    <col min="11272" max="11272" width="9.81640625" style="59" bestFit="1" customWidth="1"/>
    <col min="11273" max="11273" width="73.1796875" style="59" customWidth="1"/>
    <col min="11274" max="11274" width="5.453125" style="59" bestFit="1" customWidth="1"/>
    <col min="11275" max="11275" width="13.54296875" style="59" customWidth="1"/>
    <col min="11276" max="11276" width="14.1796875" style="59" customWidth="1"/>
    <col min="11277" max="11520" width="12.453125" style="59"/>
    <col min="11521" max="11522" width="3.81640625" style="59" customWidth="1"/>
    <col min="11523" max="11523" width="37.7265625" style="59" bestFit="1" customWidth="1"/>
    <col min="11524" max="11524" width="6.54296875" style="59" bestFit="1" customWidth="1"/>
    <col min="11525" max="11525" width="5.54296875" style="59" bestFit="1" customWidth="1"/>
    <col min="11526" max="11526" width="5.81640625" style="59" bestFit="1" customWidth="1"/>
    <col min="11527" max="11527" width="12.1796875" style="59" bestFit="1" customWidth="1"/>
    <col min="11528" max="11528" width="9.81640625" style="59" bestFit="1" customWidth="1"/>
    <col min="11529" max="11529" width="73.1796875" style="59" customWidth="1"/>
    <col min="11530" max="11530" width="5.453125" style="59" bestFit="1" customWidth="1"/>
    <col min="11531" max="11531" width="13.54296875" style="59" customWidth="1"/>
    <col min="11532" max="11532" width="14.1796875" style="59" customWidth="1"/>
    <col min="11533" max="11776" width="12.453125" style="59"/>
    <col min="11777" max="11778" width="3.81640625" style="59" customWidth="1"/>
    <col min="11779" max="11779" width="37.7265625" style="59" bestFit="1" customWidth="1"/>
    <col min="11780" max="11780" width="6.54296875" style="59" bestFit="1" customWidth="1"/>
    <col min="11781" max="11781" width="5.54296875" style="59" bestFit="1" customWidth="1"/>
    <col min="11782" max="11782" width="5.81640625" style="59" bestFit="1" customWidth="1"/>
    <col min="11783" max="11783" width="12.1796875" style="59" bestFit="1" customWidth="1"/>
    <col min="11784" max="11784" width="9.81640625" style="59" bestFit="1" customWidth="1"/>
    <col min="11785" max="11785" width="73.1796875" style="59" customWidth="1"/>
    <col min="11786" max="11786" width="5.453125" style="59" bestFit="1" customWidth="1"/>
    <col min="11787" max="11787" width="13.54296875" style="59" customWidth="1"/>
    <col min="11788" max="11788" width="14.1796875" style="59" customWidth="1"/>
    <col min="11789" max="12032" width="12.453125" style="59"/>
    <col min="12033" max="12034" width="3.81640625" style="59" customWidth="1"/>
    <col min="12035" max="12035" width="37.7265625" style="59" bestFit="1" customWidth="1"/>
    <col min="12036" max="12036" width="6.54296875" style="59" bestFit="1" customWidth="1"/>
    <col min="12037" max="12037" width="5.54296875" style="59" bestFit="1" customWidth="1"/>
    <col min="12038" max="12038" width="5.81640625" style="59" bestFit="1" customWidth="1"/>
    <col min="12039" max="12039" width="12.1796875" style="59" bestFit="1" customWidth="1"/>
    <col min="12040" max="12040" width="9.81640625" style="59" bestFit="1" customWidth="1"/>
    <col min="12041" max="12041" width="73.1796875" style="59" customWidth="1"/>
    <col min="12042" max="12042" width="5.453125" style="59" bestFit="1" customWidth="1"/>
    <col min="12043" max="12043" width="13.54296875" style="59" customWidth="1"/>
    <col min="12044" max="12044" width="14.1796875" style="59" customWidth="1"/>
    <col min="12045" max="12288" width="12.453125" style="59"/>
    <col min="12289" max="12290" width="3.81640625" style="59" customWidth="1"/>
    <col min="12291" max="12291" width="37.7265625" style="59" bestFit="1" customWidth="1"/>
    <col min="12292" max="12292" width="6.54296875" style="59" bestFit="1" customWidth="1"/>
    <col min="12293" max="12293" width="5.54296875" style="59" bestFit="1" customWidth="1"/>
    <col min="12294" max="12294" width="5.81640625" style="59" bestFit="1" customWidth="1"/>
    <col min="12295" max="12295" width="12.1796875" style="59" bestFit="1" customWidth="1"/>
    <col min="12296" max="12296" width="9.81640625" style="59" bestFit="1" customWidth="1"/>
    <col min="12297" max="12297" width="73.1796875" style="59" customWidth="1"/>
    <col min="12298" max="12298" width="5.453125" style="59" bestFit="1" customWidth="1"/>
    <col min="12299" max="12299" width="13.54296875" style="59" customWidth="1"/>
    <col min="12300" max="12300" width="14.1796875" style="59" customWidth="1"/>
    <col min="12301" max="12544" width="12.453125" style="59"/>
    <col min="12545" max="12546" width="3.81640625" style="59" customWidth="1"/>
    <col min="12547" max="12547" width="37.7265625" style="59" bestFit="1" customWidth="1"/>
    <col min="12548" max="12548" width="6.54296875" style="59" bestFit="1" customWidth="1"/>
    <col min="12549" max="12549" width="5.54296875" style="59" bestFit="1" customWidth="1"/>
    <col min="12550" max="12550" width="5.81640625" style="59" bestFit="1" customWidth="1"/>
    <col min="12551" max="12551" width="12.1796875" style="59" bestFit="1" customWidth="1"/>
    <col min="12552" max="12552" width="9.81640625" style="59" bestFit="1" customWidth="1"/>
    <col min="12553" max="12553" width="73.1796875" style="59" customWidth="1"/>
    <col min="12554" max="12554" width="5.453125" style="59" bestFit="1" customWidth="1"/>
    <col min="12555" max="12555" width="13.54296875" style="59" customWidth="1"/>
    <col min="12556" max="12556" width="14.1796875" style="59" customWidth="1"/>
    <col min="12557" max="12800" width="12.453125" style="59"/>
    <col min="12801" max="12802" width="3.81640625" style="59" customWidth="1"/>
    <col min="12803" max="12803" width="37.7265625" style="59" bestFit="1" customWidth="1"/>
    <col min="12804" max="12804" width="6.54296875" style="59" bestFit="1" customWidth="1"/>
    <col min="12805" max="12805" width="5.54296875" style="59" bestFit="1" customWidth="1"/>
    <col min="12806" max="12806" width="5.81640625" style="59" bestFit="1" customWidth="1"/>
    <col min="12807" max="12807" width="12.1796875" style="59" bestFit="1" customWidth="1"/>
    <col min="12808" max="12808" width="9.81640625" style="59" bestFit="1" customWidth="1"/>
    <col min="12809" max="12809" width="73.1796875" style="59" customWidth="1"/>
    <col min="12810" max="12810" width="5.453125" style="59" bestFit="1" customWidth="1"/>
    <col min="12811" max="12811" width="13.54296875" style="59" customWidth="1"/>
    <col min="12812" max="12812" width="14.1796875" style="59" customWidth="1"/>
    <col min="12813" max="13056" width="12.453125" style="59"/>
    <col min="13057" max="13058" width="3.81640625" style="59" customWidth="1"/>
    <col min="13059" max="13059" width="37.7265625" style="59" bestFit="1" customWidth="1"/>
    <col min="13060" max="13060" width="6.54296875" style="59" bestFit="1" customWidth="1"/>
    <col min="13061" max="13061" width="5.54296875" style="59" bestFit="1" customWidth="1"/>
    <col min="13062" max="13062" width="5.81640625" style="59" bestFit="1" customWidth="1"/>
    <col min="13063" max="13063" width="12.1796875" style="59" bestFit="1" customWidth="1"/>
    <col min="13064" max="13064" width="9.81640625" style="59" bestFit="1" customWidth="1"/>
    <col min="13065" max="13065" width="73.1796875" style="59" customWidth="1"/>
    <col min="13066" max="13066" width="5.453125" style="59" bestFit="1" customWidth="1"/>
    <col min="13067" max="13067" width="13.54296875" style="59" customWidth="1"/>
    <col min="13068" max="13068" width="14.1796875" style="59" customWidth="1"/>
    <col min="13069" max="13312" width="12.453125" style="59"/>
    <col min="13313" max="13314" width="3.81640625" style="59" customWidth="1"/>
    <col min="13315" max="13315" width="37.7265625" style="59" bestFit="1" customWidth="1"/>
    <col min="13316" max="13316" width="6.54296875" style="59" bestFit="1" customWidth="1"/>
    <col min="13317" max="13317" width="5.54296875" style="59" bestFit="1" customWidth="1"/>
    <col min="13318" max="13318" width="5.81640625" style="59" bestFit="1" customWidth="1"/>
    <col min="13319" max="13319" width="12.1796875" style="59" bestFit="1" customWidth="1"/>
    <col min="13320" max="13320" width="9.81640625" style="59" bestFit="1" customWidth="1"/>
    <col min="13321" max="13321" width="73.1796875" style="59" customWidth="1"/>
    <col min="13322" max="13322" width="5.453125" style="59" bestFit="1" customWidth="1"/>
    <col min="13323" max="13323" width="13.54296875" style="59" customWidth="1"/>
    <col min="13324" max="13324" width="14.1796875" style="59" customWidth="1"/>
    <col min="13325" max="13568" width="12.453125" style="59"/>
    <col min="13569" max="13570" width="3.81640625" style="59" customWidth="1"/>
    <col min="13571" max="13571" width="37.7265625" style="59" bestFit="1" customWidth="1"/>
    <col min="13572" max="13572" width="6.54296875" style="59" bestFit="1" customWidth="1"/>
    <col min="13573" max="13573" width="5.54296875" style="59" bestFit="1" customWidth="1"/>
    <col min="13574" max="13574" width="5.81640625" style="59" bestFit="1" customWidth="1"/>
    <col min="13575" max="13575" width="12.1796875" style="59" bestFit="1" customWidth="1"/>
    <col min="13576" max="13576" width="9.81640625" style="59" bestFit="1" customWidth="1"/>
    <col min="13577" max="13577" width="73.1796875" style="59" customWidth="1"/>
    <col min="13578" max="13578" width="5.453125" style="59" bestFit="1" customWidth="1"/>
    <col min="13579" max="13579" width="13.54296875" style="59" customWidth="1"/>
    <col min="13580" max="13580" width="14.1796875" style="59" customWidth="1"/>
    <col min="13581" max="13824" width="12.453125" style="59"/>
    <col min="13825" max="13826" width="3.81640625" style="59" customWidth="1"/>
    <col min="13827" max="13827" width="37.7265625" style="59" bestFit="1" customWidth="1"/>
    <col min="13828" max="13828" width="6.54296875" style="59" bestFit="1" customWidth="1"/>
    <col min="13829" max="13829" width="5.54296875" style="59" bestFit="1" customWidth="1"/>
    <col min="13830" max="13830" width="5.81640625" style="59" bestFit="1" customWidth="1"/>
    <col min="13831" max="13831" width="12.1796875" style="59" bestFit="1" customWidth="1"/>
    <col min="13832" max="13832" width="9.81640625" style="59" bestFit="1" customWidth="1"/>
    <col min="13833" max="13833" width="73.1796875" style="59" customWidth="1"/>
    <col min="13834" max="13834" width="5.453125" style="59" bestFit="1" customWidth="1"/>
    <col min="13835" max="13835" width="13.54296875" style="59" customWidth="1"/>
    <col min="13836" max="13836" width="14.1796875" style="59" customWidth="1"/>
    <col min="13837" max="14080" width="12.453125" style="59"/>
    <col min="14081" max="14082" width="3.81640625" style="59" customWidth="1"/>
    <col min="14083" max="14083" width="37.7265625" style="59" bestFit="1" customWidth="1"/>
    <col min="14084" max="14084" width="6.54296875" style="59" bestFit="1" customWidth="1"/>
    <col min="14085" max="14085" width="5.54296875" style="59" bestFit="1" customWidth="1"/>
    <col min="14086" max="14086" width="5.81640625" style="59" bestFit="1" customWidth="1"/>
    <col min="14087" max="14087" width="12.1796875" style="59" bestFit="1" customWidth="1"/>
    <col min="14088" max="14088" width="9.81640625" style="59" bestFit="1" customWidth="1"/>
    <col min="14089" max="14089" width="73.1796875" style="59" customWidth="1"/>
    <col min="14090" max="14090" width="5.453125" style="59" bestFit="1" customWidth="1"/>
    <col min="14091" max="14091" width="13.54296875" style="59" customWidth="1"/>
    <col min="14092" max="14092" width="14.1796875" style="59" customWidth="1"/>
    <col min="14093" max="14336" width="12.453125" style="59"/>
    <col min="14337" max="14338" width="3.81640625" style="59" customWidth="1"/>
    <col min="14339" max="14339" width="37.7265625" style="59" bestFit="1" customWidth="1"/>
    <col min="14340" max="14340" width="6.54296875" style="59" bestFit="1" customWidth="1"/>
    <col min="14341" max="14341" width="5.54296875" style="59" bestFit="1" customWidth="1"/>
    <col min="14342" max="14342" width="5.81640625" style="59" bestFit="1" customWidth="1"/>
    <col min="14343" max="14343" width="12.1796875" style="59" bestFit="1" customWidth="1"/>
    <col min="14344" max="14344" width="9.81640625" style="59" bestFit="1" customWidth="1"/>
    <col min="14345" max="14345" width="73.1796875" style="59" customWidth="1"/>
    <col min="14346" max="14346" width="5.453125" style="59" bestFit="1" customWidth="1"/>
    <col min="14347" max="14347" width="13.54296875" style="59" customWidth="1"/>
    <col min="14348" max="14348" width="14.1796875" style="59" customWidth="1"/>
    <col min="14349" max="14592" width="12.453125" style="59"/>
    <col min="14593" max="14594" width="3.81640625" style="59" customWidth="1"/>
    <col min="14595" max="14595" width="37.7265625" style="59" bestFit="1" customWidth="1"/>
    <col min="14596" max="14596" width="6.54296875" style="59" bestFit="1" customWidth="1"/>
    <col min="14597" max="14597" width="5.54296875" style="59" bestFit="1" customWidth="1"/>
    <col min="14598" max="14598" width="5.81640625" style="59" bestFit="1" customWidth="1"/>
    <col min="14599" max="14599" width="12.1796875" style="59" bestFit="1" customWidth="1"/>
    <col min="14600" max="14600" width="9.81640625" style="59" bestFit="1" customWidth="1"/>
    <col min="14601" max="14601" width="73.1796875" style="59" customWidth="1"/>
    <col min="14602" max="14602" width="5.453125" style="59" bestFit="1" customWidth="1"/>
    <col min="14603" max="14603" width="13.54296875" style="59" customWidth="1"/>
    <col min="14604" max="14604" width="14.1796875" style="59" customWidth="1"/>
    <col min="14605" max="14848" width="12.453125" style="59"/>
    <col min="14849" max="14850" width="3.81640625" style="59" customWidth="1"/>
    <col min="14851" max="14851" width="37.7265625" style="59" bestFit="1" customWidth="1"/>
    <col min="14852" max="14852" width="6.54296875" style="59" bestFit="1" customWidth="1"/>
    <col min="14853" max="14853" width="5.54296875" style="59" bestFit="1" customWidth="1"/>
    <col min="14854" max="14854" width="5.81640625" style="59" bestFit="1" customWidth="1"/>
    <col min="14855" max="14855" width="12.1796875" style="59" bestFit="1" customWidth="1"/>
    <col min="14856" max="14856" width="9.81640625" style="59" bestFit="1" customWidth="1"/>
    <col min="14857" max="14857" width="73.1796875" style="59" customWidth="1"/>
    <col min="14858" max="14858" width="5.453125" style="59" bestFit="1" customWidth="1"/>
    <col min="14859" max="14859" width="13.54296875" style="59" customWidth="1"/>
    <col min="14860" max="14860" width="14.1796875" style="59" customWidth="1"/>
    <col min="14861" max="15104" width="12.453125" style="59"/>
    <col min="15105" max="15106" width="3.81640625" style="59" customWidth="1"/>
    <col min="15107" max="15107" width="37.7265625" style="59" bestFit="1" customWidth="1"/>
    <col min="15108" max="15108" width="6.54296875" style="59" bestFit="1" customWidth="1"/>
    <col min="15109" max="15109" width="5.54296875" style="59" bestFit="1" customWidth="1"/>
    <col min="15110" max="15110" width="5.81640625" style="59" bestFit="1" customWidth="1"/>
    <col min="15111" max="15111" width="12.1796875" style="59" bestFit="1" customWidth="1"/>
    <col min="15112" max="15112" width="9.81640625" style="59" bestFit="1" customWidth="1"/>
    <col min="15113" max="15113" width="73.1796875" style="59" customWidth="1"/>
    <col min="15114" max="15114" width="5.453125" style="59" bestFit="1" customWidth="1"/>
    <col min="15115" max="15115" width="13.54296875" style="59" customWidth="1"/>
    <col min="15116" max="15116" width="14.1796875" style="59" customWidth="1"/>
    <col min="15117" max="15360" width="12.453125" style="59"/>
    <col min="15361" max="15362" width="3.81640625" style="59" customWidth="1"/>
    <col min="15363" max="15363" width="37.7265625" style="59" bestFit="1" customWidth="1"/>
    <col min="15364" max="15364" width="6.54296875" style="59" bestFit="1" customWidth="1"/>
    <col min="15365" max="15365" width="5.54296875" style="59" bestFit="1" customWidth="1"/>
    <col min="15366" max="15366" width="5.81640625" style="59" bestFit="1" customWidth="1"/>
    <col min="15367" max="15367" width="12.1796875" style="59" bestFit="1" customWidth="1"/>
    <col min="15368" max="15368" width="9.81640625" style="59" bestFit="1" customWidth="1"/>
    <col min="15369" max="15369" width="73.1796875" style="59" customWidth="1"/>
    <col min="15370" max="15370" width="5.453125" style="59" bestFit="1" customWidth="1"/>
    <col min="15371" max="15371" width="13.54296875" style="59" customWidth="1"/>
    <col min="15372" max="15372" width="14.1796875" style="59" customWidth="1"/>
    <col min="15373" max="15616" width="12.453125" style="59"/>
    <col min="15617" max="15618" width="3.81640625" style="59" customWidth="1"/>
    <col min="15619" max="15619" width="37.7265625" style="59" bestFit="1" customWidth="1"/>
    <col min="15620" max="15620" width="6.54296875" style="59" bestFit="1" customWidth="1"/>
    <col min="15621" max="15621" width="5.54296875" style="59" bestFit="1" customWidth="1"/>
    <col min="15622" max="15622" width="5.81640625" style="59" bestFit="1" customWidth="1"/>
    <col min="15623" max="15623" width="12.1796875" style="59" bestFit="1" customWidth="1"/>
    <col min="15624" max="15624" width="9.81640625" style="59" bestFit="1" customWidth="1"/>
    <col min="15625" max="15625" width="73.1796875" style="59" customWidth="1"/>
    <col min="15626" max="15626" width="5.453125" style="59" bestFit="1" customWidth="1"/>
    <col min="15627" max="15627" width="13.54296875" style="59" customWidth="1"/>
    <col min="15628" max="15628" width="14.1796875" style="59" customWidth="1"/>
    <col min="15629" max="15872" width="12.453125" style="59"/>
    <col min="15873" max="15874" width="3.81640625" style="59" customWidth="1"/>
    <col min="15875" max="15875" width="37.7265625" style="59" bestFit="1" customWidth="1"/>
    <col min="15876" max="15876" width="6.54296875" style="59" bestFit="1" customWidth="1"/>
    <col min="15877" max="15877" width="5.54296875" style="59" bestFit="1" customWidth="1"/>
    <col min="15878" max="15878" width="5.81640625" style="59" bestFit="1" customWidth="1"/>
    <col min="15879" max="15879" width="12.1796875" style="59" bestFit="1" customWidth="1"/>
    <col min="15880" max="15880" width="9.81640625" style="59" bestFit="1" customWidth="1"/>
    <col min="15881" max="15881" width="73.1796875" style="59" customWidth="1"/>
    <col min="15882" max="15882" width="5.453125" style="59" bestFit="1" customWidth="1"/>
    <col min="15883" max="15883" width="13.54296875" style="59" customWidth="1"/>
    <col min="15884" max="15884" width="14.1796875" style="59" customWidth="1"/>
    <col min="15885" max="16128" width="12.453125" style="59"/>
    <col min="16129" max="16130" width="3.81640625" style="59" customWidth="1"/>
    <col min="16131" max="16131" width="37.7265625" style="59" bestFit="1" customWidth="1"/>
    <col min="16132" max="16132" width="6.54296875" style="59" bestFit="1" customWidth="1"/>
    <col min="16133" max="16133" width="5.54296875" style="59" bestFit="1" customWidth="1"/>
    <col min="16134" max="16134" width="5.81640625" style="59" bestFit="1" customWidth="1"/>
    <col min="16135" max="16135" width="12.1796875" style="59" bestFit="1" customWidth="1"/>
    <col min="16136" max="16136" width="9.81640625" style="59" bestFit="1" customWidth="1"/>
    <col min="16137" max="16137" width="73.1796875" style="59" customWidth="1"/>
    <col min="16138" max="16138" width="5.453125" style="59" bestFit="1" customWidth="1"/>
    <col min="16139" max="16139" width="13.54296875" style="59" customWidth="1"/>
    <col min="16140" max="16140" width="14.1796875" style="59" customWidth="1"/>
    <col min="16141" max="16384" width="12.453125" style="59"/>
  </cols>
  <sheetData>
    <row r="1" spans="2:12">
      <c r="B1" s="57" t="s">
        <v>364</v>
      </c>
      <c r="C1" s="58"/>
      <c r="F1" s="60"/>
    </row>
    <row r="2" spans="2:12">
      <c r="B2" s="60" t="s">
        <v>1</v>
      </c>
    </row>
    <row r="3" spans="2:12">
      <c r="B3" s="60" t="s">
        <v>2</v>
      </c>
    </row>
    <row r="4" spans="2:12" ht="55.5" customHeight="1">
      <c r="B4" s="60"/>
      <c r="I4" s="62" t="s">
        <v>474</v>
      </c>
    </row>
    <row r="5" spans="2:12" ht="11.25" customHeight="1" thickBot="1"/>
    <row r="6" spans="2:12" ht="12.75" customHeight="1">
      <c r="B6" s="63"/>
      <c r="C6" s="64"/>
      <c r="D6" s="65" t="s">
        <v>4</v>
      </c>
      <c r="E6" s="65"/>
      <c r="F6" s="65"/>
      <c r="G6" s="66"/>
      <c r="H6" s="66"/>
      <c r="I6" s="66"/>
      <c r="J6" s="67"/>
      <c r="K6" s="205" t="s">
        <v>366</v>
      </c>
      <c r="L6" s="215"/>
    </row>
    <row r="7" spans="2:12" ht="14.5" thickBot="1">
      <c r="B7" s="68"/>
      <c r="C7" s="69"/>
      <c r="D7" s="70" t="s">
        <v>5</v>
      </c>
      <c r="E7" s="70" t="s">
        <v>6</v>
      </c>
      <c r="F7" s="70" t="s">
        <v>7</v>
      </c>
      <c r="G7" s="70" t="s">
        <v>8</v>
      </c>
      <c r="H7" s="70" t="s">
        <v>9</v>
      </c>
      <c r="I7" s="71" t="s">
        <v>10</v>
      </c>
      <c r="J7" s="72" t="s">
        <v>11</v>
      </c>
      <c r="K7" s="216"/>
      <c r="L7" s="217"/>
    </row>
    <row r="8" spans="2:12" ht="35">
      <c r="B8" s="73">
        <v>1</v>
      </c>
      <c r="C8" s="74" t="s">
        <v>12</v>
      </c>
      <c r="D8" s="75">
        <v>1</v>
      </c>
      <c r="E8" s="75">
        <f>+D8+F8-1</f>
        <v>4</v>
      </c>
      <c r="F8" s="75">
        <v>4</v>
      </c>
      <c r="G8" s="76" t="s">
        <v>13</v>
      </c>
      <c r="H8" s="75" t="s">
        <v>14</v>
      </c>
      <c r="I8" s="77" t="s">
        <v>15</v>
      </c>
      <c r="J8" s="146" t="s">
        <v>16</v>
      </c>
      <c r="K8" s="167" t="s">
        <v>158</v>
      </c>
      <c r="L8" s="169" t="s">
        <v>158</v>
      </c>
    </row>
    <row r="9" spans="2:12">
      <c r="B9" s="79">
        <v>2</v>
      </c>
      <c r="C9" s="80" t="s">
        <v>17</v>
      </c>
      <c r="D9" s="81">
        <f>+E8+1</f>
        <v>5</v>
      </c>
      <c r="E9" s="81">
        <f>+D9+F9-1</f>
        <v>8</v>
      </c>
      <c r="F9" s="81">
        <v>4</v>
      </c>
      <c r="G9" s="82" t="s">
        <v>13</v>
      </c>
      <c r="H9" s="81" t="s">
        <v>14</v>
      </c>
      <c r="I9" s="83" t="s">
        <v>18</v>
      </c>
      <c r="J9" s="115" t="s">
        <v>16</v>
      </c>
      <c r="K9" s="170" t="s">
        <v>436</v>
      </c>
      <c r="L9" s="172" t="s">
        <v>436</v>
      </c>
    </row>
    <row r="10" spans="2:12">
      <c r="B10" s="79">
        <v>3</v>
      </c>
      <c r="C10" s="80" t="s">
        <v>19</v>
      </c>
      <c r="D10" s="81">
        <f t="shared" ref="D10:D70" si="0">+E9+1</f>
        <v>9</v>
      </c>
      <c r="E10" s="81">
        <f t="shared" ref="E10:E35" si="1">+D10+F10-1</f>
        <v>15</v>
      </c>
      <c r="F10" s="81">
        <v>7</v>
      </c>
      <c r="G10" s="82" t="s">
        <v>13</v>
      </c>
      <c r="H10" s="81" t="s">
        <v>14</v>
      </c>
      <c r="I10" s="83" t="s">
        <v>20</v>
      </c>
      <c r="J10" s="115" t="s">
        <v>16</v>
      </c>
      <c r="K10" s="170" t="s">
        <v>438</v>
      </c>
      <c r="L10" s="172" t="s">
        <v>438</v>
      </c>
    </row>
    <row r="11" spans="2:12">
      <c r="B11" s="79">
        <v>4</v>
      </c>
      <c r="C11" s="80" t="s">
        <v>21</v>
      </c>
      <c r="D11" s="81">
        <f t="shared" si="0"/>
        <v>16</v>
      </c>
      <c r="E11" s="81">
        <f t="shared" si="1"/>
        <v>22</v>
      </c>
      <c r="F11" s="81">
        <v>7</v>
      </c>
      <c r="G11" s="82" t="s">
        <v>13</v>
      </c>
      <c r="H11" s="81" t="s">
        <v>14</v>
      </c>
      <c r="I11" s="83" t="s">
        <v>22</v>
      </c>
      <c r="J11" s="115" t="s">
        <v>16</v>
      </c>
      <c r="K11" s="170" t="s">
        <v>475</v>
      </c>
      <c r="L11" s="172" t="s">
        <v>475</v>
      </c>
    </row>
    <row r="12" spans="2:12" ht="14.5">
      <c r="B12" s="99">
        <v>5</v>
      </c>
      <c r="C12" s="100" t="s">
        <v>23</v>
      </c>
      <c r="D12" s="101">
        <f t="shared" si="0"/>
        <v>23</v>
      </c>
      <c r="E12" s="101">
        <f t="shared" si="1"/>
        <v>25</v>
      </c>
      <c r="F12" s="101">
        <v>3</v>
      </c>
      <c r="G12" s="102" t="s">
        <v>13</v>
      </c>
      <c r="H12" s="101" t="s">
        <v>14</v>
      </c>
      <c r="I12" s="103" t="s">
        <v>24</v>
      </c>
      <c r="J12" s="115" t="s">
        <v>25</v>
      </c>
      <c r="K12" s="170" t="s">
        <v>375</v>
      </c>
      <c r="L12" s="172" t="s">
        <v>375</v>
      </c>
    </row>
    <row r="13" spans="2:12" ht="23.5">
      <c r="B13" s="79">
        <v>6</v>
      </c>
      <c r="C13" s="80" t="s">
        <v>26</v>
      </c>
      <c r="D13" s="81">
        <f t="shared" si="0"/>
        <v>26</v>
      </c>
      <c r="E13" s="81">
        <f t="shared" si="1"/>
        <v>33</v>
      </c>
      <c r="F13" s="81">
        <v>8</v>
      </c>
      <c r="G13" s="82" t="s">
        <v>27</v>
      </c>
      <c r="H13" s="81" t="s">
        <v>14</v>
      </c>
      <c r="I13" s="90" t="s">
        <v>28</v>
      </c>
      <c r="J13" s="115" t="s">
        <v>16</v>
      </c>
      <c r="K13" s="170" t="s">
        <v>441</v>
      </c>
      <c r="L13" s="172" t="s">
        <v>476</v>
      </c>
    </row>
    <row r="14" spans="2:12" ht="38.25" customHeight="1">
      <c r="B14" s="91">
        <v>7</v>
      </c>
      <c r="C14" s="80" t="s">
        <v>29</v>
      </c>
      <c r="D14" s="81">
        <f t="shared" si="0"/>
        <v>34</v>
      </c>
      <c r="E14" s="81">
        <f t="shared" si="1"/>
        <v>41</v>
      </c>
      <c r="F14" s="81">
        <v>8</v>
      </c>
      <c r="G14" s="82" t="s">
        <v>27</v>
      </c>
      <c r="H14" s="81" t="s">
        <v>14</v>
      </c>
      <c r="I14" s="92" t="s">
        <v>30</v>
      </c>
      <c r="J14" s="148" t="s">
        <v>16</v>
      </c>
      <c r="K14" s="170" t="s">
        <v>441</v>
      </c>
      <c r="L14" s="172" t="s">
        <v>476</v>
      </c>
    </row>
    <row r="15" spans="2:12">
      <c r="B15" s="79">
        <v>8</v>
      </c>
      <c r="C15" s="94" t="s">
        <v>31</v>
      </c>
      <c r="D15" s="95">
        <f t="shared" si="0"/>
        <v>42</v>
      </c>
      <c r="E15" s="95">
        <f t="shared" si="1"/>
        <v>42</v>
      </c>
      <c r="F15" s="95">
        <v>1</v>
      </c>
      <c r="G15" s="96" t="s">
        <v>13</v>
      </c>
      <c r="H15" s="95" t="s">
        <v>14</v>
      </c>
      <c r="I15" s="97" t="s">
        <v>356</v>
      </c>
      <c r="J15" s="115" t="s">
        <v>16</v>
      </c>
      <c r="K15" s="170" t="s">
        <v>408</v>
      </c>
      <c r="L15" s="172" t="s">
        <v>408</v>
      </c>
    </row>
    <row r="16" spans="2:12">
      <c r="B16" s="79">
        <v>9</v>
      </c>
      <c r="C16" s="94" t="s">
        <v>33</v>
      </c>
      <c r="D16" s="95">
        <f t="shared" si="0"/>
        <v>43</v>
      </c>
      <c r="E16" s="95">
        <f t="shared" si="1"/>
        <v>43</v>
      </c>
      <c r="F16" s="95">
        <v>1</v>
      </c>
      <c r="G16" s="96" t="s">
        <v>13</v>
      </c>
      <c r="H16" s="95" t="s">
        <v>14</v>
      </c>
      <c r="I16" s="97" t="s">
        <v>359</v>
      </c>
      <c r="J16" s="115" t="s">
        <v>16</v>
      </c>
      <c r="K16" s="170" t="s">
        <v>477</v>
      </c>
      <c r="L16" s="172" t="s">
        <v>478</v>
      </c>
    </row>
    <row r="17" spans="2:12">
      <c r="B17" s="79">
        <v>10</v>
      </c>
      <c r="C17" s="80" t="s">
        <v>35</v>
      </c>
      <c r="D17" s="81">
        <f t="shared" si="0"/>
        <v>44</v>
      </c>
      <c r="E17" s="81">
        <f t="shared" si="1"/>
        <v>50</v>
      </c>
      <c r="F17" s="81">
        <v>7</v>
      </c>
      <c r="G17" s="82" t="s">
        <v>13</v>
      </c>
      <c r="H17" s="81" t="s">
        <v>14</v>
      </c>
      <c r="I17" s="83" t="s">
        <v>36</v>
      </c>
      <c r="J17" s="115" t="s">
        <v>16</v>
      </c>
      <c r="K17" s="170" t="s">
        <v>380</v>
      </c>
      <c r="L17" s="172" t="s">
        <v>380</v>
      </c>
    </row>
    <row r="18" spans="2:12">
      <c r="B18" s="79">
        <v>11</v>
      </c>
      <c r="C18" s="80" t="s">
        <v>37</v>
      </c>
      <c r="D18" s="81">
        <f t="shared" si="0"/>
        <v>51</v>
      </c>
      <c r="E18" s="81">
        <f t="shared" si="1"/>
        <v>64</v>
      </c>
      <c r="F18" s="81">
        <v>14</v>
      </c>
      <c r="G18" s="82" t="s">
        <v>38</v>
      </c>
      <c r="H18" s="81" t="s">
        <v>39</v>
      </c>
      <c r="I18" s="83" t="s">
        <v>40</v>
      </c>
      <c r="J18" s="115" t="s">
        <v>16</v>
      </c>
      <c r="K18" s="170" t="s">
        <v>447</v>
      </c>
      <c r="L18" s="172" t="s">
        <v>447</v>
      </c>
    </row>
    <row r="19" spans="2:12">
      <c r="B19" s="79">
        <v>12</v>
      </c>
      <c r="C19" s="80" t="s">
        <v>41</v>
      </c>
      <c r="D19" s="81">
        <f t="shared" si="0"/>
        <v>65</v>
      </c>
      <c r="E19" s="81">
        <f t="shared" si="1"/>
        <v>80</v>
      </c>
      <c r="F19" s="81">
        <v>16</v>
      </c>
      <c r="G19" s="82" t="s">
        <v>42</v>
      </c>
      <c r="H19" s="81" t="s">
        <v>39</v>
      </c>
      <c r="I19" s="83" t="s">
        <v>43</v>
      </c>
      <c r="J19" s="115" t="s">
        <v>16</v>
      </c>
      <c r="K19" s="170" t="s">
        <v>479</v>
      </c>
      <c r="L19" s="172" t="s">
        <v>479</v>
      </c>
    </row>
    <row r="20" spans="2:12">
      <c r="B20" s="177">
        <v>13</v>
      </c>
      <c r="C20" s="178" t="s">
        <v>44</v>
      </c>
      <c r="D20" s="179">
        <f t="shared" si="0"/>
        <v>81</v>
      </c>
      <c r="E20" s="179">
        <f t="shared" si="1"/>
        <v>94</v>
      </c>
      <c r="F20" s="179">
        <v>14</v>
      </c>
      <c r="G20" s="180" t="s">
        <v>45</v>
      </c>
      <c r="H20" s="179" t="s">
        <v>14</v>
      </c>
      <c r="I20" s="181" t="s">
        <v>46</v>
      </c>
      <c r="J20" s="182" t="s">
        <v>16</v>
      </c>
      <c r="K20" s="170" t="s">
        <v>480</v>
      </c>
      <c r="L20" s="172" t="s">
        <v>481</v>
      </c>
    </row>
    <row r="21" spans="2:12">
      <c r="B21" s="177">
        <v>14</v>
      </c>
      <c r="C21" s="178" t="s">
        <v>47</v>
      </c>
      <c r="D21" s="179">
        <f t="shared" si="0"/>
        <v>95</v>
      </c>
      <c r="E21" s="179">
        <f t="shared" si="1"/>
        <v>108</v>
      </c>
      <c r="F21" s="179">
        <v>14</v>
      </c>
      <c r="G21" s="180" t="s">
        <v>45</v>
      </c>
      <c r="H21" s="179" t="s">
        <v>14</v>
      </c>
      <c r="I21" s="181" t="s">
        <v>48</v>
      </c>
      <c r="J21" s="182" t="s">
        <v>16</v>
      </c>
      <c r="K21" s="170" t="s">
        <v>482</v>
      </c>
      <c r="L21" s="172" t="s">
        <v>481</v>
      </c>
    </row>
    <row r="22" spans="2:12" ht="14.5">
      <c r="B22" s="99">
        <v>15</v>
      </c>
      <c r="C22" s="149" t="s">
        <v>49</v>
      </c>
      <c r="D22" s="150">
        <f t="shared" si="0"/>
        <v>109</v>
      </c>
      <c r="E22" s="150">
        <f t="shared" si="1"/>
        <v>116</v>
      </c>
      <c r="F22" s="150">
        <v>8</v>
      </c>
      <c r="G22" s="151" t="s">
        <v>27</v>
      </c>
      <c r="H22" s="150" t="s">
        <v>14</v>
      </c>
      <c r="I22" s="152" t="s">
        <v>50</v>
      </c>
      <c r="J22" s="115" t="s">
        <v>25</v>
      </c>
      <c r="K22" s="170" t="s">
        <v>483</v>
      </c>
      <c r="L22" s="172" t="s">
        <v>483</v>
      </c>
    </row>
    <row r="23" spans="2:12">
      <c r="B23" s="79">
        <v>16</v>
      </c>
      <c r="C23" s="94" t="s">
        <v>51</v>
      </c>
      <c r="D23" s="95">
        <f t="shared" si="0"/>
        <v>117</v>
      </c>
      <c r="E23" s="95">
        <f t="shared" si="1"/>
        <v>133</v>
      </c>
      <c r="F23" s="95">
        <v>17</v>
      </c>
      <c r="G23" s="96" t="s">
        <v>52</v>
      </c>
      <c r="H23" s="95" t="s">
        <v>14</v>
      </c>
      <c r="I23" s="98" t="s">
        <v>53</v>
      </c>
      <c r="J23" s="115" t="s">
        <v>16</v>
      </c>
      <c r="K23" s="170" t="s">
        <v>387</v>
      </c>
      <c r="L23" s="172" t="s">
        <v>387</v>
      </c>
    </row>
    <row r="24" spans="2:12">
      <c r="B24" s="79">
        <v>17</v>
      </c>
      <c r="C24" s="80" t="s">
        <v>54</v>
      </c>
      <c r="D24" s="81">
        <f t="shared" si="0"/>
        <v>134</v>
      </c>
      <c r="E24" s="81">
        <f t="shared" si="1"/>
        <v>139</v>
      </c>
      <c r="F24" s="81">
        <v>6</v>
      </c>
      <c r="G24" s="82" t="s">
        <v>13</v>
      </c>
      <c r="H24" s="81" t="s">
        <v>39</v>
      </c>
      <c r="I24" s="83" t="s">
        <v>55</v>
      </c>
      <c r="J24" s="115" t="s">
        <v>16</v>
      </c>
      <c r="K24" s="170" t="s">
        <v>453</v>
      </c>
      <c r="L24" s="172" t="s">
        <v>453</v>
      </c>
    </row>
    <row r="25" spans="2:12">
      <c r="B25" s="79">
        <v>18</v>
      </c>
      <c r="C25" s="80" t="s">
        <v>56</v>
      </c>
      <c r="D25" s="81">
        <f t="shared" si="0"/>
        <v>140</v>
      </c>
      <c r="E25" s="81">
        <f t="shared" si="1"/>
        <v>157</v>
      </c>
      <c r="F25" s="81">
        <v>18</v>
      </c>
      <c r="G25" s="82" t="s">
        <v>13</v>
      </c>
      <c r="H25" s="81" t="s">
        <v>57</v>
      </c>
      <c r="I25" s="83" t="s">
        <v>58</v>
      </c>
      <c r="J25" s="115" t="s">
        <v>16</v>
      </c>
      <c r="K25" s="170" t="s">
        <v>391</v>
      </c>
      <c r="L25" s="172" t="s">
        <v>391</v>
      </c>
    </row>
    <row r="26" spans="2:12">
      <c r="B26" s="79">
        <v>19</v>
      </c>
      <c r="C26" s="80" t="s">
        <v>59</v>
      </c>
      <c r="D26" s="81">
        <f t="shared" si="0"/>
        <v>158</v>
      </c>
      <c r="E26" s="81">
        <f t="shared" si="1"/>
        <v>166</v>
      </c>
      <c r="F26" s="81">
        <v>9</v>
      </c>
      <c r="G26" s="82" t="s">
        <v>60</v>
      </c>
      <c r="H26" s="81" t="s">
        <v>57</v>
      </c>
      <c r="I26" s="83" t="s">
        <v>61</v>
      </c>
      <c r="J26" s="115" t="s">
        <v>16</v>
      </c>
      <c r="K26" s="170" t="s">
        <v>392</v>
      </c>
      <c r="L26" s="172" t="s">
        <v>392</v>
      </c>
    </row>
    <row r="27" spans="2:12">
      <c r="B27" s="79">
        <v>20</v>
      </c>
      <c r="C27" s="80" t="s">
        <v>62</v>
      </c>
      <c r="D27" s="81">
        <f t="shared" si="0"/>
        <v>167</v>
      </c>
      <c r="E27" s="81">
        <f t="shared" si="1"/>
        <v>167</v>
      </c>
      <c r="F27" s="81">
        <v>1</v>
      </c>
      <c r="G27" s="82" t="s">
        <v>13</v>
      </c>
      <c r="H27" s="81" t="s">
        <v>14</v>
      </c>
      <c r="I27" s="83" t="s">
        <v>63</v>
      </c>
      <c r="J27" s="115" t="s">
        <v>16</v>
      </c>
      <c r="K27" s="170" t="s">
        <v>393</v>
      </c>
      <c r="L27" s="172" t="s">
        <v>393</v>
      </c>
    </row>
    <row r="28" spans="2:12">
      <c r="B28" s="79">
        <v>21</v>
      </c>
      <c r="C28" s="80" t="s">
        <v>64</v>
      </c>
      <c r="D28" s="81">
        <f t="shared" si="0"/>
        <v>168</v>
      </c>
      <c r="E28" s="81">
        <f t="shared" si="1"/>
        <v>172</v>
      </c>
      <c r="F28" s="81">
        <v>5</v>
      </c>
      <c r="G28" s="82" t="s">
        <v>13</v>
      </c>
      <c r="H28" s="81" t="s">
        <v>14</v>
      </c>
      <c r="I28" s="83"/>
      <c r="J28" s="115" t="s">
        <v>16</v>
      </c>
      <c r="K28" s="170" t="s">
        <v>395</v>
      </c>
      <c r="L28" s="172" t="s">
        <v>395</v>
      </c>
    </row>
    <row r="29" spans="2:12" ht="14.5">
      <c r="B29" s="99">
        <v>22</v>
      </c>
      <c r="C29" s="100" t="s">
        <v>65</v>
      </c>
      <c r="D29" s="101">
        <f t="shared" si="0"/>
        <v>173</v>
      </c>
      <c r="E29" s="101">
        <f t="shared" si="1"/>
        <v>180</v>
      </c>
      <c r="F29" s="101">
        <v>8</v>
      </c>
      <c r="G29" s="102" t="s">
        <v>13</v>
      </c>
      <c r="H29" s="101" t="s">
        <v>14</v>
      </c>
      <c r="I29" s="103"/>
      <c r="J29" s="115" t="s">
        <v>25</v>
      </c>
      <c r="K29" s="170" t="s">
        <v>484</v>
      </c>
      <c r="L29" s="172" t="s">
        <v>484</v>
      </c>
    </row>
    <row r="30" spans="2:12" ht="14.5">
      <c r="B30" s="99">
        <v>23</v>
      </c>
      <c r="C30" s="100" t="s">
        <v>66</v>
      </c>
      <c r="D30" s="101">
        <f t="shared" si="0"/>
        <v>181</v>
      </c>
      <c r="E30" s="101">
        <f t="shared" si="1"/>
        <v>198</v>
      </c>
      <c r="F30" s="101">
        <v>18</v>
      </c>
      <c r="G30" s="102" t="s">
        <v>67</v>
      </c>
      <c r="H30" s="101" t="s">
        <v>39</v>
      </c>
      <c r="I30" s="103" t="s">
        <v>68</v>
      </c>
      <c r="J30" s="115" t="s">
        <v>25</v>
      </c>
      <c r="K30" s="170" t="s">
        <v>397</v>
      </c>
      <c r="L30" s="172" t="s">
        <v>397</v>
      </c>
    </row>
    <row r="31" spans="2:12" ht="14.5">
      <c r="B31" s="99">
        <v>24</v>
      </c>
      <c r="C31" s="100" t="s">
        <v>69</v>
      </c>
      <c r="D31" s="101">
        <f t="shared" si="0"/>
        <v>199</v>
      </c>
      <c r="E31" s="101">
        <f t="shared" si="1"/>
        <v>216</v>
      </c>
      <c r="F31" s="101">
        <v>18</v>
      </c>
      <c r="G31" s="102" t="s">
        <v>67</v>
      </c>
      <c r="H31" s="101" t="s">
        <v>39</v>
      </c>
      <c r="I31" s="103" t="s">
        <v>68</v>
      </c>
      <c r="J31" s="115" t="s">
        <v>25</v>
      </c>
      <c r="K31" s="170" t="s">
        <v>397</v>
      </c>
      <c r="L31" s="172" t="s">
        <v>397</v>
      </c>
    </row>
    <row r="32" spans="2:12">
      <c r="B32" s="79">
        <v>25</v>
      </c>
      <c r="C32" s="80" t="s">
        <v>70</v>
      </c>
      <c r="D32" s="81">
        <f t="shared" si="0"/>
        <v>217</v>
      </c>
      <c r="E32" s="81">
        <f t="shared" si="1"/>
        <v>234</v>
      </c>
      <c r="F32" s="81">
        <v>18</v>
      </c>
      <c r="G32" s="82" t="s">
        <v>67</v>
      </c>
      <c r="H32" s="81" t="s">
        <v>39</v>
      </c>
      <c r="I32" s="83" t="s">
        <v>68</v>
      </c>
      <c r="J32" s="115" t="s">
        <v>16</v>
      </c>
      <c r="K32" s="170" t="s">
        <v>397</v>
      </c>
      <c r="L32" s="172" t="s">
        <v>397</v>
      </c>
    </row>
    <row r="33" spans="2:12">
      <c r="B33" s="79">
        <v>26</v>
      </c>
      <c r="C33" s="80" t="s">
        <v>71</v>
      </c>
      <c r="D33" s="81">
        <f t="shared" si="0"/>
        <v>235</v>
      </c>
      <c r="E33" s="81">
        <f t="shared" si="1"/>
        <v>252</v>
      </c>
      <c r="F33" s="81">
        <v>18</v>
      </c>
      <c r="G33" s="82" t="s">
        <v>67</v>
      </c>
      <c r="H33" s="81" t="s">
        <v>39</v>
      </c>
      <c r="I33" s="83" t="s">
        <v>68</v>
      </c>
      <c r="J33" s="115" t="s">
        <v>16</v>
      </c>
      <c r="K33" s="170" t="s">
        <v>397</v>
      </c>
      <c r="L33" s="172" t="s">
        <v>397</v>
      </c>
    </row>
    <row r="34" spans="2:12">
      <c r="B34" s="79">
        <v>27</v>
      </c>
      <c r="C34" s="80" t="s">
        <v>72</v>
      </c>
      <c r="D34" s="81">
        <f t="shared" si="0"/>
        <v>253</v>
      </c>
      <c r="E34" s="81">
        <f t="shared" si="1"/>
        <v>402</v>
      </c>
      <c r="F34" s="81">
        <v>150</v>
      </c>
      <c r="G34" s="82" t="s">
        <v>13</v>
      </c>
      <c r="H34" s="81" t="s">
        <v>39</v>
      </c>
      <c r="I34" s="83" t="s">
        <v>73</v>
      </c>
      <c r="J34" s="115" t="s">
        <v>16</v>
      </c>
      <c r="K34" s="170" t="s">
        <v>400</v>
      </c>
      <c r="L34" s="172" t="s">
        <v>400</v>
      </c>
    </row>
    <row r="35" spans="2:12">
      <c r="B35" s="79">
        <v>28</v>
      </c>
      <c r="C35" s="80" t="s">
        <v>74</v>
      </c>
      <c r="D35" s="81">
        <f t="shared" si="0"/>
        <v>403</v>
      </c>
      <c r="E35" s="81">
        <f t="shared" si="1"/>
        <v>409</v>
      </c>
      <c r="F35" s="81">
        <v>7</v>
      </c>
      <c r="G35" s="82" t="s">
        <v>13</v>
      </c>
      <c r="H35" s="81" t="s">
        <v>14</v>
      </c>
      <c r="I35" s="83" t="s">
        <v>75</v>
      </c>
      <c r="J35" s="115" t="s">
        <v>16</v>
      </c>
      <c r="K35" s="147" t="s">
        <v>401</v>
      </c>
      <c r="L35" s="147" t="s">
        <v>401</v>
      </c>
    </row>
    <row r="36" spans="2:12" ht="14.5">
      <c r="B36" s="99">
        <v>29</v>
      </c>
      <c r="C36" s="100" t="s">
        <v>76</v>
      </c>
      <c r="D36" s="101">
        <f t="shared" si="0"/>
        <v>410</v>
      </c>
      <c r="E36" s="101">
        <f>+D36+F36-1</f>
        <v>418</v>
      </c>
      <c r="F36" s="101">
        <v>9</v>
      </c>
      <c r="G36" s="102" t="s">
        <v>60</v>
      </c>
      <c r="H36" s="101" t="s">
        <v>14</v>
      </c>
      <c r="I36" s="103" t="s">
        <v>77</v>
      </c>
      <c r="J36" s="115" t="s">
        <v>16</v>
      </c>
      <c r="K36" s="170" t="s">
        <v>392</v>
      </c>
      <c r="L36" s="172" t="s">
        <v>392</v>
      </c>
    </row>
    <row r="37" spans="2:12">
      <c r="B37" s="91">
        <v>30</v>
      </c>
      <c r="C37" s="80" t="s">
        <v>78</v>
      </c>
      <c r="D37" s="81">
        <f t="shared" si="0"/>
        <v>419</v>
      </c>
      <c r="E37" s="81">
        <f>+D37+F37-1</f>
        <v>436</v>
      </c>
      <c r="F37" s="81">
        <v>18</v>
      </c>
      <c r="G37" s="82" t="s">
        <v>67</v>
      </c>
      <c r="H37" s="81" t="s">
        <v>79</v>
      </c>
      <c r="I37" s="90" t="s">
        <v>362</v>
      </c>
      <c r="J37" s="115" t="s">
        <v>16</v>
      </c>
      <c r="K37" s="170" t="s">
        <v>485</v>
      </c>
      <c r="L37" s="172" t="s">
        <v>486</v>
      </c>
    </row>
    <row r="38" spans="2:12">
      <c r="B38" s="79">
        <v>31</v>
      </c>
      <c r="C38" s="80" t="s">
        <v>81</v>
      </c>
      <c r="D38" s="81">
        <f t="shared" si="0"/>
        <v>437</v>
      </c>
      <c r="E38" s="81">
        <f>+D38+F38-1</f>
        <v>454</v>
      </c>
      <c r="F38" s="81">
        <v>18</v>
      </c>
      <c r="G38" s="82" t="s">
        <v>67</v>
      </c>
      <c r="H38" s="81" t="s">
        <v>82</v>
      </c>
      <c r="I38" s="83" t="s">
        <v>68</v>
      </c>
      <c r="J38" s="115" t="s">
        <v>16</v>
      </c>
      <c r="K38" s="170" t="s">
        <v>397</v>
      </c>
      <c r="L38" s="172" t="s">
        <v>397</v>
      </c>
    </row>
    <row r="39" spans="2:12">
      <c r="B39" s="79">
        <v>32</v>
      </c>
      <c r="C39" s="80" t="s">
        <v>84</v>
      </c>
      <c r="D39" s="81">
        <f t="shared" si="0"/>
        <v>455</v>
      </c>
      <c r="E39" s="81">
        <f>+D39+F39-1</f>
        <v>455</v>
      </c>
      <c r="F39" s="81">
        <v>1</v>
      </c>
      <c r="G39" s="82" t="s">
        <v>85</v>
      </c>
      <c r="H39" s="81" t="s">
        <v>14</v>
      </c>
      <c r="I39" s="83" t="s">
        <v>86</v>
      </c>
      <c r="J39" s="115" t="s">
        <v>16</v>
      </c>
      <c r="K39" s="170" t="s">
        <v>487</v>
      </c>
      <c r="L39" s="172" t="s">
        <v>487</v>
      </c>
    </row>
    <row r="40" spans="2:12">
      <c r="B40" s="79">
        <v>33</v>
      </c>
      <c r="C40" s="80" t="s">
        <v>87</v>
      </c>
      <c r="D40" s="81">
        <f t="shared" si="0"/>
        <v>456</v>
      </c>
      <c r="E40" s="81">
        <f>+D40+F40-1</f>
        <v>463</v>
      </c>
      <c r="F40" s="81">
        <v>8</v>
      </c>
      <c r="G40" s="82" t="s">
        <v>13</v>
      </c>
      <c r="H40" s="81" t="s">
        <v>14</v>
      </c>
      <c r="I40" s="83" t="s">
        <v>88</v>
      </c>
      <c r="J40" s="115" t="s">
        <v>16</v>
      </c>
      <c r="K40" s="170" t="s">
        <v>403</v>
      </c>
      <c r="L40" s="172" t="s">
        <v>403</v>
      </c>
    </row>
    <row r="41" spans="2:12">
      <c r="B41" s="79">
        <v>34</v>
      </c>
      <c r="C41" s="80" t="s">
        <v>89</v>
      </c>
      <c r="D41" s="81">
        <f t="shared" si="0"/>
        <v>464</v>
      </c>
      <c r="E41" s="81">
        <f t="shared" ref="E41:E72" si="2">+D41+F41-1</f>
        <v>478</v>
      </c>
      <c r="F41" s="81">
        <v>15</v>
      </c>
      <c r="G41" s="82" t="s">
        <v>13</v>
      </c>
      <c r="H41" s="81" t="s">
        <v>14</v>
      </c>
      <c r="I41" s="83" t="s">
        <v>88</v>
      </c>
      <c r="J41" s="115" t="s">
        <v>16</v>
      </c>
      <c r="K41" s="170" t="s">
        <v>488</v>
      </c>
      <c r="L41" s="172" t="s">
        <v>488</v>
      </c>
    </row>
    <row r="42" spans="2:12">
      <c r="B42" s="79">
        <v>35</v>
      </c>
      <c r="C42" s="104" t="s">
        <v>90</v>
      </c>
      <c r="D42" s="105">
        <f t="shared" si="0"/>
        <v>479</v>
      </c>
      <c r="E42" s="105">
        <f t="shared" si="2"/>
        <v>480</v>
      </c>
      <c r="F42" s="105">
        <v>2</v>
      </c>
      <c r="G42" s="106" t="s">
        <v>13</v>
      </c>
      <c r="H42" s="105" t="s">
        <v>14</v>
      </c>
      <c r="I42" s="107" t="s">
        <v>91</v>
      </c>
      <c r="J42" s="115" t="s">
        <v>16</v>
      </c>
      <c r="K42" s="170" t="s">
        <v>214</v>
      </c>
      <c r="L42" s="172" t="s">
        <v>214</v>
      </c>
    </row>
    <row r="43" spans="2:12">
      <c r="B43" s="79">
        <v>36</v>
      </c>
      <c r="C43" s="104" t="s">
        <v>92</v>
      </c>
      <c r="D43" s="105">
        <f t="shared" si="0"/>
        <v>481</v>
      </c>
      <c r="E43" s="105">
        <f t="shared" si="2"/>
        <v>481</v>
      </c>
      <c r="F43" s="105">
        <v>1</v>
      </c>
      <c r="G43" s="106" t="s">
        <v>13</v>
      </c>
      <c r="H43" s="105" t="s">
        <v>14</v>
      </c>
      <c r="I43" s="108" t="s">
        <v>93</v>
      </c>
      <c r="J43" s="115" t="s">
        <v>16</v>
      </c>
      <c r="K43" s="170" t="s">
        <v>407</v>
      </c>
      <c r="L43" s="172" t="s">
        <v>407</v>
      </c>
    </row>
    <row r="44" spans="2:12">
      <c r="B44" s="79">
        <v>37</v>
      </c>
      <c r="C44" s="104" t="s">
        <v>94</v>
      </c>
      <c r="D44" s="105">
        <f t="shared" si="0"/>
        <v>482</v>
      </c>
      <c r="E44" s="105">
        <f t="shared" si="2"/>
        <v>482</v>
      </c>
      <c r="F44" s="105">
        <v>1</v>
      </c>
      <c r="G44" s="106" t="s">
        <v>13</v>
      </c>
      <c r="H44" s="105" t="s">
        <v>14</v>
      </c>
      <c r="I44" s="108" t="s">
        <v>95</v>
      </c>
      <c r="J44" s="115" t="s">
        <v>16</v>
      </c>
      <c r="K44" s="170" t="s">
        <v>408</v>
      </c>
      <c r="L44" s="172" t="s">
        <v>408</v>
      </c>
    </row>
    <row r="45" spans="2:12">
      <c r="B45" s="79">
        <v>38</v>
      </c>
      <c r="C45" s="104" t="s">
        <v>96</v>
      </c>
      <c r="D45" s="105">
        <f t="shared" si="0"/>
        <v>483</v>
      </c>
      <c r="E45" s="105">
        <f t="shared" si="2"/>
        <v>486</v>
      </c>
      <c r="F45" s="105">
        <v>4</v>
      </c>
      <c r="G45" s="106" t="s">
        <v>85</v>
      </c>
      <c r="H45" s="105" t="s">
        <v>14</v>
      </c>
      <c r="I45" s="107" t="s">
        <v>97</v>
      </c>
      <c r="J45" s="115" t="s">
        <v>16</v>
      </c>
      <c r="K45" s="170" t="s">
        <v>409</v>
      </c>
      <c r="L45" s="172" t="s">
        <v>489</v>
      </c>
    </row>
    <row r="46" spans="2:12">
      <c r="B46" s="79">
        <v>39</v>
      </c>
      <c r="C46" s="104" t="s">
        <v>98</v>
      </c>
      <c r="D46" s="105">
        <f t="shared" si="0"/>
        <v>487</v>
      </c>
      <c r="E46" s="105">
        <f t="shared" si="2"/>
        <v>494</v>
      </c>
      <c r="F46" s="105">
        <v>8</v>
      </c>
      <c r="G46" s="106" t="s">
        <v>99</v>
      </c>
      <c r="H46" s="105" t="s">
        <v>14</v>
      </c>
      <c r="I46" s="107" t="s">
        <v>100</v>
      </c>
      <c r="J46" s="115" t="s">
        <v>16</v>
      </c>
      <c r="K46" s="170" t="s">
        <v>490</v>
      </c>
      <c r="L46" s="172" t="s">
        <v>490</v>
      </c>
    </row>
    <row r="47" spans="2:12">
      <c r="B47" s="79">
        <v>40</v>
      </c>
      <c r="C47" s="104" t="s">
        <v>101</v>
      </c>
      <c r="D47" s="105">
        <f t="shared" si="0"/>
        <v>495</v>
      </c>
      <c r="E47" s="105">
        <f t="shared" si="2"/>
        <v>502</v>
      </c>
      <c r="F47" s="105">
        <v>8</v>
      </c>
      <c r="G47" s="106" t="s">
        <v>99</v>
      </c>
      <c r="H47" s="105" t="s">
        <v>14</v>
      </c>
      <c r="I47" s="107" t="s">
        <v>102</v>
      </c>
      <c r="J47" s="115" t="s">
        <v>16</v>
      </c>
      <c r="K47" s="170" t="s">
        <v>490</v>
      </c>
      <c r="L47" s="172" t="s">
        <v>490</v>
      </c>
    </row>
    <row r="48" spans="2:12">
      <c r="B48" s="79">
        <v>41</v>
      </c>
      <c r="C48" s="104" t="s">
        <v>103</v>
      </c>
      <c r="D48" s="105">
        <f t="shared" si="0"/>
        <v>503</v>
      </c>
      <c r="E48" s="105">
        <f t="shared" si="2"/>
        <v>505</v>
      </c>
      <c r="F48" s="105">
        <v>3</v>
      </c>
      <c r="G48" s="106" t="s">
        <v>13</v>
      </c>
      <c r="H48" s="105" t="s">
        <v>14</v>
      </c>
      <c r="I48" s="107" t="s">
        <v>91</v>
      </c>
      <c r="J48" s="115" t="s">
        <v>16</v>
      </c>
      <c r="K48" s="170" t="s">
        <v>413</v>
      </c>
      <c r="L48" s="172" t="s">
        <v>413</v>
      </c>
    </row>
    <row r="49" spans="2:12">
      <c r="B49" s="79">
        <v>42</v>
      </c>
      <c r="C49" s="104" t="s">
        <v>104</v>
      </c>
      <c r="D49" s="105">
        <f t="shared" si="0"/>
        <v>506</v>
      </c>
      <c r="E49" s="105">
        <f t="shared" si="2"/>
        <v>508</v>
      </c>
      <c r="F49" s="105">
        <v>3</v>
      </c>
      <c r="G49" s="106" t="s">
        <v>13</v>
      </c>
      <c r="H49" s="105" t="s">
        <v>14</v>
      </c>
      <c r="I49" s="107" t="s">
        <v>91</v>
      </c>
      <c r="J49" s="115" t="s">
        <v>16</v>
      </c>
      <c r="K49" s="170" t="s">
        <v>413</v>
      </c>
      <c r="L49" s="172" t="s">
        <v>413</v>
      </c>
    </row>
    <row r="50" spans="2:12">
      <c r="B50" s="79">
        <v>43</v>
      </c>
      <c r="C50" s="104" t="s">
        <v>105</v>
      </c>
      <c r="D50" s="105">
        <f t="shared" si="0"/>
        <v>509</v>
      </c>
      <c r="E50" s="105">
        <f t="shared" si="2"/>
        <v>511</v>
      </c>
      <c r="F50" s="105">
        <v>3</v>
      </c>
      <c r="G50" s="106" t="s">
        <v>13</v>
      </c>
      <c r="H50" s="105" t="s">
        <v>82</v>
      </c>
      <c r="I50" s="83" t="s">
        <v>106</v>
      </c>
      <c r="J50" s="115" t="s">
        <v>16</v>
      </c>
      <c r="K50" s="170" t="s">
        <v>416</v>
      </c>
      <c r="L50" s="172" t="s">
        <v>416</v>
      </c>
    </row>
    <row r="51" spans="2:12">
      <c r="B51" s="79">
        <v>44</v>
      </c>
      <c r="C51" s="104" t="s">
        <v>107</v>
      </c>
      <c r="D51" s="105">
        <f t="shared" si="0"/>
        <v>512</v>
      </c>
      <c r="E51" s="105">
        <f t="shared" si="2"/>
        <v>514</v>
      </c>
      <c r="F51" s="105">
        <v>3</v>
      </c>
      <c r="G51" s="106" t="s">
        <v>13</v>
      </c>
      <c r="H51" s="105" t="s">
        <v>82</v>
      </c>
      <c r="I51" s="83" t="s">
        <v>106</v>
      </c>
      <c r="J51" s="115" t="s">
        <v>16</v>
      </c>
      <c r="K51" s="170" t="s">
        <v>423</v>
      </c>
      <c r="L51" s="172" t="s">
        <v>423</v>
      </c>
    </row>
    <row r="52" spans="2:12">
      <c r="B52" s="79">
        <v>45</v>
      </c>
      <c r="C52" s="104" t="s">
        <v>108</v>
      </c>
      <c r="D52" s="105">
        <f t="shared" si="0"/>
        <v>515</v>
      </c>
      <c r="E52" s="105">
        <f t="shared" si="2"/>
        <v>524</v>
      </c>
      <c r="F52" s="105">
        <v>10</v>
      </c>
      <c r="G52" s="106" t="s">
        <v>85</v>
      </c>
      <c r="H52" s="105" t="s">
        <v>109</v>
      </c>
      <c r="I52" s="107" t="s">
        <v>110</v>
      </c>
      <c r="J52" s="115" t="s">
        <v>16</v>
      </c>
      <c r="K52" s="170" t="s">
        <v>491</v>
      </c>
      <c r="L52" s="172" t="s">
        <v>492</v>
      </c>
    </row>
    <row r="53" spans="2:12">
      <c r="B53" s="79">
        <v>46</v>
      </c>
      <c r="C53" s="104" t="s">
        <v>111</v>
      </c>
      <c r="D53" s="105">
        <f t="shared" si="0"/>
        <v>525</v>
      </c>
      <c r="E53" s="105">
        <f t="shared" si="2"/>
        <v>538</v>
      </c>
      <c r="F53" s="105">
        <v>14</v>
      </c>
      <c r="G53" s="82" t="s">
        <v>112</v>
      </c>
      <c r="H53" s="105" t="s">
        <v>113</v>
      </c>
      <c r="I53" s="107" t="s">
        <v>114</v>
      </c>
      <c r="J53" s="115" t="s">
        <v>16</v>
      </c>
      <c r="K53" s="170" t="s">
        <v>493</v>
      </c>
      <c r="L53" s="172" t="s">
        <v>493</v>
      </c>
    </row>
    <row r="54" spans="2:12">
      <c r="B54" s="79">
        <v>47</v>
      </c>
      <c r="C54" s="104" t="s">
        <v>115</v>
      </c>
      <c r="D54" s="105">
        <f t="shared" si="0"/>
        <v>539</v>
      </c>
      <c r="E54" s="105">
        <f t="shared" si="2"/>
        <v>558</v>
      </c>
      <c r="F54" s="105">
        <v>20</v>
      </c>
      <c r="G54" s="106" t="s">
        <v>13</v>
      </c>
      <c r="H54" s="105" t="s">
        <v>109</v>
      </c>
      <c r="I54" s="107" t="s">
        <v>116</v>
      </c>
      <c r="J54" s="115" t="s">
        <v>16</v>
      </c>
      <c r="K54" s="170" t="s">
        <v>469</v>
      </c>
      <c r="L54" s="172" t="s">
        <v>469</v>
      </c>
    </row>
    <row r="55" spans="2:12">
      <c r="B55" s="79">
        <v>48</v>
      </c>
      <c r="C55" s="104" t="s">
        <v>117</v>
      </c>
      <c r="D55" s="105">
        <f t="shared" si="0"/>
        <v>559</v>
      </c>
      <c r="E55" s="105">
        <f t="shared" si="2"/>
        <v>576</v>
      </c>
      <c r="F55" s="105">
        <v>18</v>
      </c>
      <c r="G55" s="106" t="s">
        <v>67</v>
      </c>
      <c r="H55" s="105" t="s">
        <v>118</v>
      </c>
      <c r="I55" s="107" t="s">
        <v>119</v>
      </c>
      <c r="J55" s="115" t="s">
        <v>16</v>
      </c>
      <c r="K55" s="170" t="s">
        <v>397</v>
      </c>
      <c r="L55" s="172" t="s">
        <v>397</v>
      </c>
    </row>
    <row r="56" spans="2:12">
      <c r="B56" s="79">
        <v>49</v>
      </c>
      <c r="C56" s="80" t="s">
        <v>120</v>
      </c>
      <c r="D56" s="81">
        <f t="shared" si="0"/>
        <v>577</v>
      </c>
      <c r="E56" s="81">
        <f t="shared" si="2"/>
        <v>584</v>
      </c>
      <c r="F56" s="81">
        <v>8</v>
      </c>
      <c r="G56" s="82" t="s">
        <v>121</v>
      </c>
      <c r="H56" s="81" t="s">
        <v>82</v>
      </c>
      <c r="I56" s="83" t="s">
        <v>122</v>
      </c>
      <c r="J56" s="115" t="s">
        <v>16</v>
      </c>
      <c r="K56" s="170" t="s">
        <v>392</v>
      </c>
      <c r="L56" s="172" t="s">
        <v>392</v>
      </c>
    </row>
    <row r="57" spans="2:12" ht="23.5">
      <c r="B57" s="91">
        <v>50</v>
      </c>
      <c r="C57" s="80" t="s">
        <v>123</v>
      </c>
      <c r="D57" s="81">
        <f t="shared" si="0"/>
        <v>585</v>
      </c>
      <c r="E57" s="81">
        <f t="shared" si="2"/>
        <v>598</v>
      </c>
      <c r="F57" s="81">
        <v>14</v>
      </c>
      <c r="G57" s="82" t="s">
        <v>13</v>
      </c>
      <c r="H57" s="81" t="s">
        <v>109</v>
      </c>
      <c r="I57" s="90" t="s">
        <v>124</v>
      </c>
      <c r="J57" s="115" t="s">
        <v>16</v>
      </c>
      <c r="K57" s="170" t="s">
        <v>386</v>
      </c>
      <c r="L57" s="172" t="s">
        <v>386</v>
      </c>
    </row>
    <row r="58" spans="2:12">
      <c r="B58" s="79">
        <v>51</v>
      </c>
      <c r="C58" s="80" t="s">
        <v>125</v>
      </c>
      <c r="D58" s="81">
        <f t="shared" si="0"/>
        <v>599</v>
      </c>
      <c r="E58" s="81">
        <f t="shared" si="2"/>
        <v>601</v>
      </c>
      <c r="F58" s="81">
        <v>3</v>
      </c>
      <c r="G58" s="82" t="s">
        <v>13</v>
      </c>
      <c r="H58" s="81" t="s">
        <v>109</v>
      </c>
      <c r="I58" s="83" t="s">
        <v>91</v>
      </c>
      <c r="J58" s="115" t="s">
        <v>16</v>
      </c>
      <c r="K58" s="170" t="s">
        <v>423</v>
      </c>
      <c r="L58" s="172" t="s">
        <v>423</v>
      </c>
    </row>
    <row r="59" spans="2:12">
      <c r="B59" s="79">
        <v>52</v>
      </c>
      <c r="C59" s="80" t="s">
        <v>126</v>
      </c>
      <c r="D59" s="81">
        <f t="shared" si="0"/>
        <v>602</v>
      </c>
      <c r="E59" s="81">
        <f t="shared" si="2"/>
        <v>608</v>
      </c>
      <c r="F59" s="81">
        <v>7</v>
      </c>
      <c r="G59" s="82" t="s">
        <v>13</v>
      </c>
      <c r="H59" s="81" t="s">
        <v>127</v>
      </c>
      <c r="I59" s="83" t="s">
        <v>88</v>
      </c>
      <c r="J59" s="115" t="s">
        <v>16</v>
      </c>
      <c r="K59" s="170" t="s">
        <v>380</v>
      </c>
      <c r="L59" s="172" t="s">
        <v>380</v>
      </c>
    </row>
    <row r="60" spans="2:12">
      <c r="B60" s="79">
        <v>53</v>
      </c>
      <c r="C60" s="80" t="s">
        <v>128</v>
      </c>
      <c r="D60" s="81">
        <f t="shared" si="0"/>
        <v>609</v>
      </c>
      <c r="E60" s="81">
        <f t="shared" si="2"/>
        <v>616</v>
      </c>
      <c r="F60" s="81">
        <v>8</v>
      </c>
      <c r="G60" s="82" t="s">
        <v>13</v>
      </c>
      <c r="H60" s="81" t="s">
        <v>127</v>
      </c>
      <c r="I60" s="83" t="s">
        <v>88</v>
      </c>
      <c r="J60" s="115" t="s">
        <v>16</v>
      </c>
      <c r="K60" s="170" t="s">
        <v>403</v>
      </c>
      <c r="L60" s="172" t="s">
        <v>403</v>
      </c>
    </row>
    <row r="61" spans="2:12">
      <c r="B61" s="79">
        <v>54</v>
      </c>
      <c r="C61" s="80" t="s">
        <v>129</v>
      </c>
      <c r="D61" s="81">
        <f t="shared" si="0"/>
        <v>617</v>
      </c>
      <c r="E61" s="81">
        <f t="shared" si="2"/>
        <v>631</v>
      </c>
      <c r="F61" s="81">
        <v>15</v>
      </c>
      <c r="G61" s="82" t="s">
        <v>13</v>
      </c>
      <c r="H61" s="81" t="s">
        <v>127</v>
      </c>
      <c r="I61" s="83" t="s">
        <v>88</v>
      </c>
      <c r="J61" s="115" t="s">
        <v>16</v>
      </c>
      <c r="K61" s="170" t="s">
        <v>488</v>
      </c>
      <c r="L61" s="172" t="s">
        <v>488</v>
      </c>
    </row>
    <row r="62" spans="2:12">
      <c r="B62" s="79">
        <v>55</v>
      </c>
      <c r="C62" s="80" t="s">
        <v>44</v>
      </c>
      <c r="D62" s="81">
        <f t="shared" si="0"/>
        <v>632</v>
      </c>
      <c r="E62" s="81">
        <f t="shared" si="2"/>
        <v>646</v>
      </c>
      <c r="F62" s="81">
        <v>15</v>
      </c>
      <c r="G62" s="82" t="s">
        <v>130</v>
      </c>
      <c r="H62" s="81" t="s">
        <v>14</v>
      </c>
      <c r="I62" s="83" t="s">
        <v>131</v>
      </c>
      <c r="J62" s="115" t="s">
        <v>132</v>
      </c>
      <c r="K62" s="170" t="s">
        <v>494</v>
      </c>
      <c r="L62" s="172" t="s">
        <v>495</v>
      </c>
    </row>
    <row r="63" spans="2:12" ht="23.5">
      <c r="B63" s="91">
        <v>56</v>
      </c>
      <c r="C63" s="80" t="s">
        <v>47</v>
      </c>
      <c r="D63" s="81">
        <f t="shared" si="0"/>
        <v>647</v>
      </c>
      <c r="E63" s="81">
        <f t="shared" si="2"/>
        <v>661</v>
      </c>
      <c r="F63" s="81">
        <v>15</v>
      </c>
      <c r="G63" s="82" t="s">
        <v>130</v>
      </c>
      <c r="H63" s="81" t="s">
        <v>14</v>
      </c>
      <c r="I63" s="90" t="s">
        <v>133</v>
      </c>
      <c r="J63" s="115" t="s">
        <v>132</v>
      </c>
      <c r="K63" s="170" t="s">
        <v>496</v>
      </c>
      <c r="L63" s="172" t="s">
        <v>495</v>
      </c>
    </row>
    <row r="64" spans="2:12">
      <c r="B64" s="79">
        <v>57</v>
      </c>
      <c r="C64" s="80" t="s">
        <v>134</v>
      </c>
      <c r="D64" s="81">
        <f t="shared" si="0"/>
        <v>662</v>
      </c>
      <c r="E64" s="81">
        <f t="shared" si="2"/>
        <v>671</v>
      </c>
      <c r="F64" s="81">
        <v>10</v>
      </c>
      <c r="G64" s="82" t="s">
        <v>13</v>
      </c>
      <c r="H64" s="81" t="s">
        <v>14</v>
      </c>
      <c r="I64" s="83" t="s">
        <v>135</v>
      </c>
      <c r="J64" s="115" t="s">
        <v>16</v>
      </c>
      <c r="K64" s="170" t="s">
        <v>497</v>
      </c>
      <c r="L64" s="172" t="s">
        <v>497</v>
      </c>
    </row>
    <row r="65" spans="2:12" ht="23.5">
      <c r="B65" s="91">
        <v>58</v>
      </c>
      <c r="C65" s="80" t="s">
        <v>136</v>
      </c>
      <c r="D65" s="81">
        <f t="shared" si="0"/>
        <v>672</v>
      </c>
      <c r="E65" s="81">
        <f t="shared" si="2"/>
        <v>685</v>
      </c>
      <c r="F65" s="81">
        <v>14</v>
      </c>
      <c r="G65" s="82" t="s">
        <v>85</v>
      </c>
      <c r="H65" s="81" t="s">
        <v>109</v>
      </c>
      <c r="I65" s="90" t="s">
        <v>137</v>
      </c>
      <c r="J65" s="115" t="s">
        <v>16</v>
      </c>
      <c r="K65" s="170" t="s">
        <v>419</v>
      </c>
      <c r="L65" s="172" t="s">
        <v>419</v>
      </c>
    </row>
    <row r="66" spans="2:12" ht="23.5">
      <c r="B66" s="91">
        <v>59</v>
      </c>
      <c r="C66" s="109" t="s">
        <v>138</v>
      </c>
      <c r="D66" s="110">
        <f t="shared" si="0"/>
        <v>686</v>
      </c>
      <c r="E66" s="110">
        <f t="shared" si="2"/>
        <v>699</v>
      </c>
      <c r="F66" s="110">
        <v>14</v>
      </c>
      <c r="G66" s="111" t="s">
        <v>85</v>
      </c>
      <c r="H66" s="110" t="s">
        <v>109</v>
      </c>
      <c r="I66" s="112" t="s">
        <v>139</v>
      </c>
      <c r="J66" s="115" t="s">
        <v>16</v>
      </c>
      <c r="K66" s="170" t="s">
        <v>419</v>
      </c>
      <c r="L66" s="172" t="s">
        <v>419</v>
      </c>
    </row>
    <row r="67" spans="2:12">
      <c r="B67" s="79">
        <v>60</v>
      </c>
      <c r="C67" s="80" t="s">
        <v>140</v>
      </c>
      <c r="D67" s="81">
        <f t="shared" si="0"/>
        <v>700</v>
      </c>
      <c r="E67" s="81">
        <f t="shared" si="2"/>
        <v>707</v>
      </c>
      <c r="F67" s="81">
        <v>8</v>
      </c>
      <c r="G67" s="82" t="s">
        <v>13</v>
      </c>
      <c r="H67" s="81" t="s">
        <v>109</v>
      </c>
      <c r="I67" s="83" t="s">
        <v>88</v>
      </c>
      <c r="J67" s="164" t="s">
        <v>16</v>
      </c>
      <c r="K67" s="170" t="s">
        <v>431</v>
      </c>
      <c r="L67" s="172" t="s">
        <v>431</v>
      </c>
    </row>
    <row r="68" spans="2:12">
      <c r="B68" s="79">
        <v>61</v>
      </c>
      <c r="C68" s="80" t="s">
        <v>141</v>
      </c>
      <c r="D68" s="81">
        <f t="shared" si="0"/>
        <v>708</v>
      </c>
      <c r="E68" s="81">
        <f t="shared" si="2"/>
        <v>710</v>
      </c>
      <c r="F68" s="81">
        <v>3</v>
      </c>
      <c r="G68" s="82" t="s">
        <v>13</v>
      </c>
      <c r="H68" s="81" t="s">
        <v>82</v>
      </c>
      <c r="I68" s="83" t="s">
        <v>91</v>
      </c>
      <c r="J68" s="164" t="s">
        <v>16</v>
      </c>
      <c r="K68" s="170" t="s">
        <v>413</v>
      </c>
      <c r="L68" s="172" t="s">
        <v>413</v>
      </c>
    </row>
    <row r="69" spans="2:12">
      <c r="B69" s="79">
        <v>62</v>
      </c>
      <c r="C69" s="80" t="s">
        <v>142</v>
      </c>
      <c r="D69" s="81">
        <f t="shared" si="0"/>
        <v>711</v>
      </c>
      <c r="E69" s="81">
        <f t="shared" si="2"/>
        <v>727</v>
      </c>
      <c r="F69" s="81">
        <v>17</v>
      </c>
      <c r="G69" s="82" t="s">
        <v>52</v>
      </c>
      <c r="H69" s="81" t="s">
        <v>82</v>
      </c>
      <c r="I69" s="83" t="s">
        <v>143</v>
      </c>
      <c r="J69" s="164" t="s">
        <v>16</v>
      </c>
      <c r="K69" s="170" t="s">
        <v>387</v>
      </c>
      <c r="L69" s="172" t="s">
        <v>387</v>
      </c>
    </row>
    <row r="70" spans="2:12">
      <c r="B70" s="114">
        <v>63</v>
      </c>
      <c r="C70" s="82" t="s">
        <v>144</v>
      </c>
      <c r="D70" s="81">
        <f t="shared" si="0"/>
        <v>728</v>
      </c>
      <c r="E70" s="81">
        <f t="shared" si="2"/>
        <v>797</v>
      </c>
      <c r="F70" s="81">
        <v>70</v>
      </c>
      <c r="G70" s="82" t="s">
        <v>13</v>
      </c>
      <c r="H70" s="81" t="s">
        <v>109</v>
      </c>
      <c r="I70" s="83" t="s">
        <v>145</v>
      </c>
      <c r="J70" s="115" t="s">
        <v>16</v>
      </c>
      <c r="K70" s="170" t="s">
        <v>433</v>
      </c>
      <c r="L70" s="172" t="s">
        <v>433</v>
      </c>
    </row>
    <row r="71" spans="2:12" ht="14.5" thickBot="1">
      <c r="B71" s="114">
        <v>64</v>
      </c>
      <c r="C71" s="82" t="s">
        <v>146</v>
      </c>
      <c r="D71" s="81">
        <f>+E69+1</f>
        <v>728</v>
      </c>
      <c r="E71" s="81">
        <f>+D71+F71-1</f>
        <v>736</v>
      </c>
      <c r="F71" s="81">
        <v>9</v>
      </c>
      <c r="G71" s="82" t="s">
        <v>13</v>
      </c>
      <c r="H71" s="81" t="s">
        <v>109</v>
      </c>
      <c r="I71" s="83" t="s">
        <v>147</v>
      </c>
      <c r="J71" s="115" t="s">
        <v>16</v>
      </c>
      <c r="K71" s="173" t="s">
        <v>434</v>
      </c>
      <c r="L71" s="175" t="s">
        <v>434</v>
      </c>
    </row>
    <row r="72" spans="2:12" ht="14.5" thickBot="1">
      <c r="B72" s="116">
        <v>65</v>
      </c>
      <c r="C72" s="117" t="s">
        <v>148</v>
      </c>
      <c r="D72" s="118">
        <f>+E70+1</f>
        <v>798</v>
      </c>
      <c r="E72" s="118">
        <f t="shared" si="2"/>
        <v>817</v>
      </c>
      <c r="F72" s="118">
        <v>20</v>
      </c>
      <c r="G72" s="119" t="s">
        <v>13</v>
      </c>
      <c r="H72" s="118" t="s">
        <v>109</v>
      </c>
      <c r="I72" s="120" t="s">
        <v>149</v>
      </c>
      <c r="J72" s="115" t="s">
        <v>16</v>
      </c>
      <c r="K72" s="173" t="s">
        <v>434</v>
      </c>
      <c r="L72" s="175" t="s">
        <v>434</v>
      </c>
    </row>
    <row r="73" spans="2:12">
      <c r="B73" s="121"/>
      <c r="C73" s="122"/>
      <c r="D73" s="123"/>
      <c r="E73" s="123"/>
      <c r="F73" s="123"/>
      <c r="G73" s="122"/>
      <c r="H73" s="123"/>
      <c r="I73" s="122"/>
      <c r="J73" s="67"/>
    </row>
    <row r="74" spans="2:12">
      <c r="B74" s="124"/>
      <c r="C74" s="125" t="s">
        <v>150</v>
      </c>
      <c r="D74" s="126"/>
      <c r="E74" s="126"/>
      <c r="F74" s="126"/>
      <c r="G74" s="127"/>
      <c r="H74" s="126"/>
      <c r="I74" s="127"/>
      <c r="J74" s="128"/>
    </row>
    <row r="75" spans="2:12">
      <c r="B75" s="124"/>
      <c r="C75" s="129" t="s">
        <v>151</v>
      </c>
      <c r="D75" s="126"/>
      <c r="E75" s="126"/>
      <c r="F75" s="126"/>
      <c r="G75" s="127"/>
      <c r="H75" s="126"/>
      <c r="I75" s="127"/>
      <c r="J75" s="128"/>
    </row>
    <row r="76" spans="2:12">
      <c r="B76" s="124"/>
      <c r="C76" s="129" t="s">
        <v>152</v>
      </c>
      <c r="D76" s="126"/>
      <c r="E76" s="126"/>
      <c r="F76" s="126"/>
      <c r="G76" s="127"/>
      <c r="H76" s="126"/>
      <c r="I76" s="127"/>
      <c r="J76" s="128"/>
    </row>
    <row r="77" spans="2:12">
      <c r="B77" s="124"/>
      <c r="C77" s="129" t="s">
        <v>153</v>
      </c>
      <c r="D77" s="126"/>
      <c r="E77" s="126"/>
      <c r="F77" s="126"/>
      <c r="G77" s="127"/>
      <c r="H77" s="126"/>
      <c r="I77" s="127"/>
      <c r="J77" s="128"/>
    </row>
    <row r="78" spans="2:12">
      <c r="B78" s="124"/>
      <c r="C78" s="129"/>
      <c r="D78" s="126"/>
      <c r="E78" s="126"/>
      <c r="F78" s="126"/>
      <c r="G78" s="127"/>
      <c r="H78" s="126"/>
      <c r="I78" s="127"/>
      <c r="J78" s="128"/>
    </row>
    <row r="79" spans="2:12" ht="27.75" customHeight="1">
      <c r="B79" s="130"/>
      <c r="C79" s="199" t="s">
        <v>154</v>
      </c>
      <c r="D79" s="200"/>
      <c r="E79" s="200"/>
      <c r="F79" s="200"/>
      <c r="G79" s="200"/>
      <c r="H79" s="200"/>
      <c r="J79" s="128"/>
    </row>
    <row r="80" spans="2:12">
      <c r="B80" s="130"/>
      <c r="C80" s="125"/>
      <c r="J80" s="128"/>
    </row>
    <row r="81" spans="2:10" ht="27.75" customHeight="1">
      <c r="B81" s="130"/>
      <c r="C81" s="199" t="s">
        <v>155</v>
      </c>
      <c r="D81" s="200"/>
      <c r="E81" s="200"/>
      <c r="F81" s="200"/>
      <c r="G81" s="200"/>
      <c r="H81" s="200"/>
      <c r="J81" s="128"/>
    </row>
    <row r="82" spans="2:10" ht="14.5" thickBot="1">
      <c r="B82" s="68"/>
      <c r="C82" s="131"/>
      <c r="D82" s="131"/>
      <c r="E82" s="131"/>
      <c r="F82" s="131"/>
      <c r="G82" s="131"/>
      <c r="H82" s="131"/>
      <c r="I82" s="131"/>
      <c r="J82" s="72"/>
    </row>
  </sheetData>
  <mergeCells count="3">
    <mergeCell ref="K6:L7"/>
    <mergeCell ref="C79:H79"/>
    <mergeCell ref="C81:H81"/>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81B36-7D8A-4951-B9E2-AD54ECA9CBF4}">
  <dimension ref="B1:J82"/>
  <sheetViews>
    <sheetView topLeftCell="A56" workbookViewId="0">
      <selection activeCell="I7" sqref="I7:J72"/>
    </sheetView>
  </sheetViews>
  <sheetFormatPr defaultColWidth="12.453125" defaultRowHeight="14"/>
  <cols>
    <col min="1" max="2" width="3.81640625" style="59" customWidth="1"/>
    <col min="3" max="3" width="37.7265625" style="59" bestFit="1" customWidth="1"/>
    <col min="4" max="4" width="6.54296875" style="59" bestFit="1" customWidth="1"/>
    <col min="5" max="5" width="5.54296875" style="59" bestFit="1" customWidth="1"/>
    <col min="6" max="6" width="5.81640625" style="59" bestFit="1" customWidth="1"/>
    <col min="7" max="7" width="12.1796875" style="59" bestFit="1" customWidth="1"/>
    <col min="8" max="8" width="9.81640625" style="59" bestFit="1" customWidth="1"/>
    <col min="9" max="9" width="73.1796875" style="59" customWidth="1"/>
    <col min="10" max="10" width="5.453125" style="61" bestFit="1" customWidth="1"/>
    <col min="11" max="256" width="12.453125" style="59"/>
    <col min="257" max="258" width="3.81640625" style="59" customWidth="1"/>
    <col min="259" max="259" width="37.7265625" style="59" bestFit="1" customWidth="1"/>
    <col min="260" max="260" width="6.54296875" style="59" bestFit="1" customWidth="1"/>
    <col min="261" max="261" width="5.54296875" style="59" bestFit="1" customWidth="1"/>
    <col min="262" max="262" width="5.81640625" style="59" bestFit="1" customWidth="1"/>
    <col min="263" max="263" width="12.1796875" style="59" bestFit="1" customWidth="1"/>
    <col min="264" max="264" width="9.81640625" style="59" bestFit="1" customWidth="1"/>
    <col min="265" max="265" width="73.1796875" style="59" customWidth="1"/>
    <col min="266" max="266" width="5.453125" style="59" bestFit="1" customWidth="1"/>
    <col min="267" max="512" width="12.453125" style="59"/>
    <col min="513" max="514" width="3.81640625" style="59" customWidth="1"/>
    <col min="515" max="515" width="37.7265625" style="59" bestFit="1" customWidth="1"/>
    <col min="516" max="516" width="6.54296875" style="59" bestFit="1" customWidth="1"/>
    <col min="517" max="517" width="5.54296875" style="59" bestFit="1" customWidth="1"/>
    <col min="518" max="518" width="5.81640625" style="59" bestFit="1" customWidth="1"/>
    <col min="519" max="519" width="12.1796875" style="59" bestFit="1" customWidth="1"/>
    <col min="520" max="520" width="9.81640625" style="59" bestFit="1" customWidth="1"/>
    <col min="521" max="521" width="73.1796875" style="59" customWidth="1"/>
    <col min="522" max="522" width="5.453125" style="59" bestFit="1" customWidth="1"/>
    <col min="523" max="768" width="12.453125" style="59"/>
    <col min="769" max="770" width="3.81640625" style="59" customWidth="1"/>
    <col min="771" max="771" width="37.7265625" style="59" bestFit="1" customWidth="1"/>
    <col min="772" max="772" width="6.54296875" style="59" bestFit="1" customWidth="1"/>
    <col min="773" max="773" width="5.54296875" style="59" bestFit="1" customWidth="1"/>
    <col min="774" max="774" width="5.81640625" style="59" bestFit="1" customWidth="1"/>
    <col min="775" max="775" width="12.1796875" style="59" bestFit="1" customWidth="1"/>
    <col min="776" max="776" width="9.81640625" style="59" bestFit="1" customWidth="1"/>
    <col min="777" max="777" width="73.1796875" style="59" customWidth="1"/>
    <col min="778" max="778" width="5.453125" style="59" bestFit="1" customWidth="1"/>
    <col min="779" max="1024" width="12.453125" style="59"/>
    <col min="1025" max="1026" width="3.81640625" style="59" customWidth="1"/>
    <col min="1027" max="1027" width="37.7265625" style="59" bestFit="1" customWidth="1"/>
    <col min="1028" max="1028" width="6.54296875" style="59" bestFit="1" customWidth="1"/>
    <col min="1029" max="1029" width="5.54296875" style="59" bestFit="1" customWidth="1"/>
    <col min="1030" max="1030" width="5.81640625" style="59" bestFit="1" customWidth="1"/>
    <col min="1031" max="1031" width="12.1796875" style="59" bestFit="1" customWidth="1"/>
    <col min="1032" max="1032" width="9.81640625" style="59" bestFit="1" customWidth="1"/>
    <col min="1033" max="1033" width="73.1796875" style="59" customWidth="1"/>
    <col min="1034" max="1034" width="5.453125" style="59" bestFit="1" customWidth="1"/>
    <col min="1035" max="1280" width="12.453125" style="59"/>
    <col min="1281" max="1282" width="3.81640625" style="59" customWidth="1"/>
    <col min="1283" max="1283" width="37.7265625" style="59" bestFit="1" customWidth="1"/>
    <col min="1284" max="1284" width="6.54296875" style="59" bestFit="1" customWidth="1"/>
    <col min="1285" max="1285" width="5.54296875" style="59" bestFit="1" customWidth="1"/>
    <col min="1286" max="1286" width="5.81640625" style="59" bestFit="1" customWidth="1"/>
    <col min="1287" max="1287" width="12.1796875" style="59" bestFit="1" customWidth="1"/>
    <col min="1288" max="1288" width="9.81640625" style="59" bestFit="1" customWidth="1"/>
    <col min="1289" max="1289" width="73.1796875" style="59" customWidth="1"/>
    <col min="1290" max="1290" width="5.453125" style="59" bestFit="1" customWidth="1"/>
    <col min="1291" max="1536" width="12.453125" style="59"/>
    <col min="1537" max="1538" width="3.81640625" style="59" customWidth="1"/>
    <col min="1539" max="1539" width="37.7265625" style="59" bestFit="1" customWidth="1"/>
    <col min="1540" max="1540" width="6.54296875" style="59" bestFit="1" customWidth="1"/>
    <col min="1541" max="1541" width="5.54296875" style="59" bestFit="1" customWidth="1"/>
    <col min="1542" max="1542" width="5.81640625" style="59" bestFit="1" customWidth="1"/>
    <col min="1543" max="1543" width="12.1796875" style="59" bestFit="1" customWidth="1"/>
    <col min="1544" max="1544" width="9.81640625" style="59" bestFit="1" customWidth="1"/>
    <col min="1545" max="1545" width="73.1796875" style="59" customWidth="1"/>
    <col min="1546" max="1546" width="5.453125" style="59" bestFit="1" customWidth="1"/>
    <col min="1547" max="1792" width="12.453125" style="59"/>
    <col min="1793" max="1794" width="3.81640625" style="59" customWidth="1"/>
    <col min="1795" max="1795" width="37.7265625" style="59" bestFit="1" customWidth="1"/>
    <col min="1796" max="1796" width="6.54296875" style="59" bestFit="1" customWidth="1"/>
    <col min="1797" max="1797" width="5.54296875" style="59" bestFit="1" customWidth="1"/>
    <col min="1798" max="1798" width="5.81640625" style="59" bestFit="1" customWidth="1"/>
    <col min="1799" max="1799" width="12.1796875" style="59" bestFit="1" customWidth="1"/>
    <col min="1800" max="1800" width="9.81640625" style="59" bestFit="1" customWidth="1"/>
    <col min="1801" max="1801" width="73.1796875" style="59" customWidth="1"/>
    <col min="1802" max="1802" width="5.453125" style="59" bestFit="1" customWidth="1"/>
    <col min="1803" max="2048" width="12.453125" style="59"/>
    <col min="2049" max="2050" width="3.81640625" style="59" customWidth="1"/>
    <col min="2051" max="2051" width="37.7265625" style="59" bestFit="1" customWidth="1"/>
    <col min="2052" max="2052" width="6.54296875" style="59" bestFit="1" customWidth="1"/>
    <col min="2053" max="2053" width="5.54296875" style="59" bestFit="1" customWidth="1"/>
    <col min="2054" max="2054" width="5.81640625" style="59" bestFit="1" customWidth="1"/>
    <col min="2055" max="2055" width="12.1796875" style="59" bestFit="1" customWidth="1"/>
    <col min="2056" max="2056" width="9.81640625" style="59" bestFit="1" customWidth="1"/>
    <col min="2057" max="2057" width="73.1796875" style="59" customWidth="1"/>
    <col min="2058" max="2058" width="5.453125" style="59" bestFit="1" customWidth="1"/>
    <col min="2059" max="2304" width="12.453125" style="59"/>
    <col min="2305" max="2306" width="3.81640625" style="59" customWidth="1"/>
    <col min="2307" max="2307" width="37.7265625" style="59" bestFit="1" customWidth="1"/>
    <col min="2308" max="2308" width="6.54296875" style="59" bestFit="1" customWidth="1"/>
    <col min="2309" max="2309" width="5.54296875" style="59" bestFit="1" customWidth="1"/>
    <col min="2310" max="2310" width="5.81640625" style="59" bestFit="1" customWidth="1"/>
    <col min="2311" max="2311" width="12.1796875" style="59" bestFit="1" customWidth="1"/>
    <col min="2312" max="2312" width="9.81640625" style="59" bestFit="1" customWidth="1"/>
    <col min="2313" max="2313" width="73.1796875" style="59" customWidth="1"/>
    <col min="2314" max="2314" width="5.453125" style="59" bestFit="1" customWidth="1"/>
    <col min="2315" max="2560" width="12.453125" style="59"/>
    <col min="2561" max="2562" width="3.81640625" style="59" customWidth="1"/>
    <col min="2563" max="2563" width="37.7265625" style="59" bestFit="1" customWidth="1"/>
    <col min="2564" max="2564" width="6.54296875" style="59" bestFit="1" customWidth="1"/>
    <col min="2565" max="2565" width="5.54296875" style="59" bestFit="1" customWidth="1"/>
    <col min="2566" max="2566" width="5.81640625" style="59" bestFit="1" customWidth="1"/>
    <col min="2567" max="2567" width="12.1796875" style="59" bestFit="1" customWidth="1"/>
    <col min="2568" max="2568" width="9.81640625" style="59" bestFit="1" customWidth="1"/>
    <col min="2569" max="2569" width="73.1796875" style="59" customWidth="1"/>
    <col min="2570" max="2570" width="5.453125" style="59" bestFit="1" customWidth="1"/>
    <col min="2571" max="2816" width="12.453125" style="59"/>
    <col min="2817" max="2818" width="3.81640625" style="59" customWidth="1"/>
    <col min="2819" max="2819" width="37.7265625" style="59" bestFit="1" customWidth="1"/>
    <col min="2820" max="2820" width="6.54296875" style="59" bestFit="1" customWidth="1"/>
    <col min="2821" max="2821" width="5.54296875" style="59" bestFit="1" customWidth="1"/>
    <col min="2822" max="2822" width="5.81640625" style="59" bestFit="1" customWidth="1"/>
    <col min="2823" max="2823" width="12.1796875" style="59" bestFit="1" customWidth="1"/>
    <col min="2824" max="2824" width="9.81640625" style="59" bestFit="1" customWidth="1"/>
    <col min="2825" max="2825" width="73.1796875" style="59" customWidth="1"/>
    <col min="2826" max="2826" width="5.453125" style="59" bestFit="1" customWidth="1"/>
    <col min="2827" max="3072" width="12.453125" style="59"/>
    <col min="3073" max="3074" width="3.81640625" style="59" customWidth="1"/>
    <col min="3075" max="3075" width="37.7265625" style="59" bestFit="1" customWidth="1"/>
    <col min="3076" max="3076" width="6.54296875" style="59" bestFit="1" customWidth="1"/>
    <col min="3077" max="3077" width="5.54296875" style="59" bestFit="1" customWidth="1"/>
    <col min="3078" max="3078" width="5.81640625" style="59" bestFit="1" customWidth="1"/>
    <col min="3079" max="3079" width="12.1796875" style="59" bestFit="1" customWidth="1"/>
    <col min="3080" max="3080" width="9.81640625" style="59" bestFit="1" customWidth="1"/>
    <col min="3081" max="3081" width="73.1796875" style="59" customWidth="1"/>
    <col min="3082" max="3082" width="5.453125" style="59" bestFit="1" customWidth="1"/>
    <col min="3083" max="3328" width="12.453125" style="59"/>
    <col min="3329" max="3330" width="3.81640625" style="59" customWidth="1"/>
    <col min="3331" max="3331" width="37.7265625" style="59" bestFit="1" customWidth="1"/>
    <col min="3332" max="3332" width="6.54296875" style="59" bestFit="1" customWidth="1"/>
    <col min="3333" max="3333" width="5.54296875" style="59" bestFit="1" customWidth="1"/>
    <col min="3334" max="3334" width="5.81640625" style="59" bestFit="1" customWidth="1"/>
    <col min="3335" max="3335" width="12.1796875" style="59" bestFit="1" customWidth="1"/>
    <col min="3336" max="3336" width="9.81640625" style="59" bestFit="1" customWidth="1"/>
    <col min="3337" max="3337" width="73.1796875" style="59" customWidth="1"/>
    <col min="3338" max="3338" width="5.453125" style="59" bestFit="1" customWidth="1"/>
    <col min="3339" max="3584" width="12.453125" style="59"/>
    <col min="3585" max="3586" width="3.81640625" style="59" customWidth="1"/>
    <col min="3587" max="3587" width="37.7265625" style="59" bestFit="1" customWidth="1"/>
    <col min="3588" max="3588" width="6.54296875" style="59" bestFit="1" customWidth="1"/>
    <col min="3589" max="3589" width="5.54296875" style="59" bestFit="1" customWidth="1"/>
    <col min="3590" max="3590" width="5.81640625" style="59" bestFit="1" customWidth="1"/>
    <col min="3591" max="3591" width="12.1796875" style="59" bestFit="1" customWidth="1"/>
    <col min="3592" max="3592" width="9.81640625" style="59" bestFit="1" customWidth="1"/>
    <col min="3593" max="3593" width="73.1796875" style="59" customWidth="1"/>
    <col min="3594" max="3594" width="5.453125" style="59" bestFit="1" customWidth="1"/>
    <col min="3595" max="3840" width="12.453125" style="59"/>
    <col min="3841" max="3842" width="3.81640625" style="59" customWidth="1"/>
    <col min="3843" max="3843" width="37.7265625" style="59" bestFit="1" customWidth="1"/>
    <col min="3844" max="3844" width="6.54296875" style="59" bestFit="1" customWidth="1"/>
    <col min="3845" max="3845" width="5.54296875" style="59" bestFit="1" customWidth="1"/>
    <col min="3846" max="3846" width="5.81640625" style="59" bestFit="1" customWidth="1"/>
    <col min="3847" max="3847" width="12.1796875" style="59" bestFit="1" customWidth="1"/>
    <col min="3848" max="3848" width="9.81640625" style="59" bestFit="1" customWidth="1"/>
    <col min="3849" max="3849" width="73.1796875" style="59" customWidth="1"/>
    <col min="3850" max="3850" width="5.453125" style="59" bestFit="1" customWidth="1"/>
    <col min="3851" max="4096" width="12.453125" style="59"/>
    <col min="4097" max="4098" width="3.81640625" style="59" customWidth="1"/>
    <col min="4099" max="4099" width="37.7265625" style="59" bestFit="1" customWidth="1"/>
    <col min="4100" max="4100" width="6.54296875" style="59" bestFit="1" customWidth="1"/>
    <col min="4101" max="4101" width="5.54296875" style="59" bestFit="1" customWidth="1"/>
    <col min="4102" max="4102" width="5.81640625" style="59" bestFit="1" customWidth="1"/>
    <col min="4103" max="4103" width="12.1796875" style="59" bestFit="1" customWidth="1"/>
    <col min="4104" max="4104" width="9.81640625" style="59" bestFit="1" customWidth="1"/>
    <col min="4105" max="4105" width="73.1796875" style="59" customWidth="1"/>
    <col min="4106" max="4106" width="5.453125" style="59" bestFit="1" customWidth="1"/>
    <col min="4107" max="4352" width="12.453125" style="59"/>
    <col min="4353" max="4354" width="3.81640625" style="59" customWidth="1"/>
    <col min="4355" max="4355" width="37.7265625" style="59" bestFit="1" customWidth="1"/>
    <col min="4356" max="4356" width="6.54296875" style="59" bestFit="1" customWidth="1"/>
    <col min="4357" max="4357" width="5.54296875" style="59" bestFit="1" customWidth="1"/>
    <col min="4358" max="4358" width="5.81640625" style="59" bestFit="1" customWidth="1"/>
    <col min="4359" max="4359" width="12.1796875" style="59" bestFit="1" customWidth="1"/>
    <col min="4360" max="4360" width="9.81640625" style="59" bestFit="1" customWidth="1"/>
    <col min="4361" max="4361" width="73.1796875" style="59" customWidth="1"/>
    <col min="4362" max="4362" width="5.453125" style="59" bestFit="1" customWidth="1"/>
    <col min="4363" max="4608" width="12.453125" style="59"/>
    <col min="4609" max="4610" width="3.81640625" style="59" customWidth="1"/>
    <col min="4611" max="4611" width="37.7265625" style="59" bestFit="1" customWidth="1"/>
    <col min="4612" max="4612" width="6.54296875" style="59" bestFit="1" customWidth="1"/>
    <col min="4613" max="4613" width="5.54296875" style="59" bestFit="1" customWidth="1"/>
    <col min="4614" max="4614" width="5.81640625" style="59" bestFit="1" customWidth="1"/>
    <col min="4615" max="4615" width="12.1796875" style="59" bestFit="1" customWidth="1"/>
    <col min="4616" max="4616" width="9.81640625" style="59" bestFit="1" customWidth="1"/>
    <col min="4617" max="4617" width="73.1796875" style="59" customWidth="1"/>
    <col min="4618" max="4618" width="5.453125" style="59" bestFit="1" customWidth="1"/>
    <col min="4619" max="4864" width="12.453125" style="59"/>
    <col min="4865" max="4866" width="3.81640625" style="59" customWidth="1"/>
    <col min="4867" max="4867" width="37.7265625" style="59" bestFit="1" customWidth="1"/>
    <col min="4868" max="4868" width="6.54296875" style="59" bestFit="1" customWidth="1"/>
    <col min="4869" max="4869" width="5.54296875" style="59" bestFit="1" customWidth="1"/>
    <col min="4870" max="4870" width="5.81640625" style="59" bestFit="1" customWidth="1"/>
    <col min="4871" max="4871" width="12.1796875" style="59" bestFit="1" customWidth="1"/>
    <col min="4872" max="4872" width="9.81640625" style="59" bestFit="1" customWidth="1"/>
    <col min="4873" max="4873" width="73.1796875" style="59" customWidth="1"/>
    <col min="4874" max="4874" width="5.453125" style="59" bestFit="1" customWidth="1"/>
    <col min="4875" max="5120" width="12.453125" style="59"/>
    <col min="5121" max="5122" width="3.81640625" style="59" customWidth="1"/>
    <col min="5123" max="5123" width="37.7265625" style="59" bestFit="1" customWidth="1"/>
    <col min="5124" max="5124" width="6.54296875" style="59" bestFit="1" customWidth="1"/>
    <col min="5125" max="5125" width="5.54296875" style="59" bestFit="1" customWidth="1"/>
    <col min="5126" max="5126" width="5.81640625" style="59" bestFit="1" customWidth="1"/>
    <col min="5127" max="5127" width="12.1796875" style="59" bestFit="1" customWidth="1"/>
    <col min="5128" max="5128" width="9.81640625" style="59" bestFit="1" customWidth="1"/>
    <col min="5129" max="5129" width="73.1796875" style="59" customWidth="1"/>
    <col min="5130" max="5130" width="5.453125" style="59" bestFit="1" customWidth="1"/>
    <col min="5131" max="5376" width="12.453125" style="59"/>
    <col min="5377" max="5378" width="3.81640625" style="59" customWidth="1"/>
    <col min="5379" max="5379" width="37.7265625" style="59" bestFit="1" customWidth="1"/>
    <col min="5380" max="5380" width="6.54296875" style="59" bestFit="1" customWidth="1"/>
    <col min="5381" max="5381" width="5.54296875" style="59" bestFit="1" customWidth="1"/>
    <col min="5382" max="5382" width="5.81640625" style="59" bestFit="1" customWidth="1"/>
    <col min="5383" max="5383" width="12.1796875" style="59" bestFit="1" customWidth="1"/>
    <col min="5384" max="5384" width="9.81640625" style="59" bestFit="1" customWidth="1"/>
    <col min="5385" max="5385" width="73.1796875" style="59" customWidth="1"/>
    <col min="5386" max="5386" width="5.453125" style="59" bestFit="1" customWidth="1"/>
    <col min="5387" max="5632" width="12.453125" style="59"/>
    <col min="5633" max="5634" width="3.81640625" style="59" customWidth="1"/>
    <col min="5635" max="5635" width="37.7265625" style="59" bestFit="1" customWidth="1"/>
    <col min="5636" max="5636" width="6.54296875" style="59" bestFit="1" customWidth="1"/>
    <col min="5637" max="5637" width="5.54296875" style="59" bestFit="1" customWidth="1"/>
    <col min="5638" max="5638" width="5.81640625" style="59" bestFit="1" customWidth="1"/>
    <col min="5639" max="5639" width="12.1796875" style="59" bestFit="1" customWidth="1"/>
    <col min="5640" max="5640" width="9.81640625" style="59" bestFit="1" customWidth="1"/>
    <col min="5641" max="5641" width="73.1796875" style="59" customWidth="1"/>
    <col min="5642" max="5642" width="5.453125" style="59" bestFit="1" customWidth="1"/>
    <col min="5643" max="5888" width="12.453125" style="59"/>
    <col min="5889" max="5890" width="3.81640625" style="59" customWidth="1"/>
    <col min="5891" max="5891" width="37.7265625" style="59" bestFit="1" customWidth="1"/>
    <col min="5892" max="5892" width="6.54296875" style="59" bestFit="1" customWidth="1"/>
    <col min="5893" max="5893" width="5.54296875" style="59" bestFit="1" customWidth="1"/>
    <col min="5894" max="5894" width="5.81640625" style="59" bestFit="1" customWidth="1"/>
    <col min="5895" max="5895" width="12.1796875" style="59" bestFit="1" customWidth="1"/>
    <col min="5896" max="5896" width="9.81640625" style="59" bestFit="1" customWidth="1"/>
    <col min="5897" max="5897" width="73.1796875" style="59" customWidth="1"/>
    <col min="5898" max="5898" width="5.453125" style="59" bestFit="1" customWidth="1"/>
    <col min="5899" max="6144" width="12.453125" style="59"/>
    <col min="6145" max="6146" width="3.81640625" style="59" customWidth="1"/>
    <col min="6147" max="6147" width="37.7265625" style="59" bestFit="1" customWidth="1"/>
    <col min="6148" max="6148" width="6.54296875" style="59" bestFit="1" customWidth="1"/>
    <col min="6149" max="6149" width="5.54296875" style="59" bestFit="1" customWidth="1"/>
    <col min="6150" max="6150" width="5.81640625" style="59" bestFit="1" customWidth="1"/>
    <col min="6151" max="6151" width="12.1796875" style="59" bestFit="1" customWidth="1"/>
    <col min="6152" max="6152" width="9.81640625" style="59" bestFit="1" customWidth="1"/>
    <col min="6153" max="6153" width="73.1796875" style="59" customWidth="1"/>
    <col min="6154" max="6154" width="5.453125" style="59" bestFit="1" customWidth="1"/>
    <col min="6155" max="6400" width="12.453125" style="59"/>
    <col min="6401" max="6402" width="3.81640625" style="59" customWidth="1"/>
    <col min="6403" max="6403" width="37.7265625" style="59" bestFit="1" customWidth="1"/>
    <col min="6404" max="6404" width="6.54296875" style="59" bestFit="1" customWidth="1"/>
    <col min="6405" max="6405" width="5.54296875" style="59" bestFit="1" customWidth="1"/>
    <col min="6406" max="6406" width="5.81640625" style="59" bestFit="1" customWidth="1"/>
    <col min="6407" max="6407" width="12.1796875" style="59" bestFit="1" customWidth="1"/>
    <col min="6408" max="6408" width="9.81640625" style="59" bestFit="1" customWidth="1"/>
    <col min="6409" max="6409" width="73.1796875" style="59" customWidth="1"/>
    <col min="6410" max="6410" width="5.453125" style="59" bestFit="1" customWidth="1"/>
    <col min="6411" max="6656" width="12.453125" style="59"/>
    <col min="6657" max="6658" width="3.81640625" style="59" customWidth="1"/>
    <col min="6659" max="6659" width="37.7265625" style="59" bestFit="1" customWidth="1"/>
    <col min="6660" max="6660" width="6.54296875" style="59" bestFit="1" customWidth="1"/>
    <col min="6661" max="6661" width="5.54296875" style="59" bestFit="1" customWidth="1"/>
    <col min="6662" max="6662" width="5.81640625" style="59" bestFit="1" customWidth="1"/>
    <col min="6663" max="6663" width="12.1796875" style="59" bestFit="1" customWidth="1"/>
    <col min="6664" max="6664" width="9.81640625" style="59" bestFit="1" customWidth="1"/>
    <col min="6665" max="6665" width="73.1796875" style="59" customWidth="1"/>
    <col min="6666" max="6666" width="5.453125" style="59" bestFit="1" customWidth="1"/>
    <col min="6667" max="6912" width="12.453125" style="59"/>
    <col min="6913" max="6914" width="3.81640625" style="59" customWidth="1"/>
    <col min="6915" max="6915" width="37.7265625" style="59" bestFit="1" customWidth="1"/>
    <col min="6916" max="6916" width="6.54296875" style="59" bestFit="1" customWidth="1"/>
    <col min="6917" max="6917" width="5.54296875" style="59" bestFit="1" customWidth="1"/>
    <col min="6918" max="6918" width="5.81640625" style="59" bestFit="1" customWidth="1"/>
    <col min="6919" max="6919" width="12.1796875" style="59" bestFit="1" customWidth="1"/>
    <col min="6920" max="6920" width="9.81640625" style="59" bestFit="1" customWidth="1"/>
    <col min="6921" max="6921" width="73.1796875" style="59" customWidth="1"/>
    <col min="6922" max="6922" width="5.453125" style="59" bestFit="1" customWidth="1"/>
    <col min="6923" max="7168" width="12.453125" style="59"/>
    <col min="7169" max="7170" width="3.81640625" style="59" customWidth="1"/>
    <col min="7171" max="7171" width="37.7265625" style="59" bestFit="1" customWidth="1"/>
    <col min="7172" max="7172" width="6.54296875" style="59" bestFit="1" customWidth="1"/>
    <col min="7173" max="7173" width="5.54296875" style="59" bestFit="1" customWidth="1"/>
    <col min="7174" max="7174" width="5.81640625" style="59" bestFit="1" customWidth="1"/>
    <col min="7175" max="7175" width="12.1796875" style="59" bestFit="1" customWidth="1"/>
    <col min="7176" max="7176" width="9.81640625" style="59" bestFit="1" customWidth="1"/>
    <col min="7177" max="7177" width="73.1796875" style="59" customWidth="1"/>
    <col min="7178" max="7178" width="5.453125" style="59" bestFit="1" customWidth="1"/>
    <col min="7179" max="7424" width="12.453125" style="59"/>
    <col min="7425" max="7426" width="3.81640625" style="59" customWidth="1"/>
    <col min="7427" max="7427" width="37.7265625" style="59" bestFit="1" customWidth="1"/>
    <col min="7428" max="7428" width="6.54296875" style="59" bestFit="1" customWidth="1"/>
    <col min="7429" max="7429" width="5.54296875" style="59" bestFit="1" customWidth="1"/>
    <col min="7430" max="7430" width="5.81640625" style="59" bestFit="1" customWidth="1"/>
    <col min="7431" max="7431" width="12.1796875" style="59" bestFit="1" customWidth="1"/>
    <col min="7432" max="7432" width="9.81640625" style="59" bestFit="1" customWidth="1"/>
    <col min="7433" max="7433" width="73.1796875" style="59" customWidth="1"/>
    <col min="7434" max="7434" width="5.453125" style="59" bestFit="1" customWidth="1"/>
    <col min="7435" max="7680" width="12.453125" style="59"/>
    <col min="7681" max="7682" width="3.81640625" style="59" customWidth="1"/>
    <col min="7683" max="7683" width="37.7265625" style="59" bestFit="1" customWidth="1"/>
    <col min="7684" max="7684" width="6.54296875" style="59" bestFit="1" customWidth="1"/>
    <col min="7685" max="7685" width="5.54296875" style="59" bestFit="1" customWidth="1"/>
    <col min="7686" max="7686" width="5.81640625" style="59" bestFit="1" customWidth="1"/>
    <col min="7687" max="7687" width="12.1796875" style="59" bestFit="1" customWidth="1"/>
    <col min="7688" max="7688" width="9.81640625" style="59" bestFit="1" customWidth="1"/>
    <col min="7689" max="7689" width="73.1796875" style="59" customWidth="1"/>
    <col min="7690" max="7690" width="5.453125" style="59" bestFit="1" customWidth="1"/>
    <col min="7691" max="7936" width="12.453125" style="59"/>
    <col min="7937" max="7938" width="3.81640625" style="59" customWidth="1"/>
    <col min="7939" max="7939" width="37.7265625" style="59" bestFit="1" customWidth="1"/>
    <col min="7940" max="7940" width="6.54296875" style="59" bestFit="1" customWidth="1"/>
    <col min="7941" max="7941" width="5.54296875" style="59" bestFit="1" customWidth="1"/>
    <col min="7942" max="7942" width="5.81640625" style="59" bestFit="1" customWidth="1"/>
    <col min="7943" max="7943" width="12.1796875" style="59" bestFit="1" customWidth="1"/>
    <col min="7944" max="7944" width="9.81640625" style="59" bestFit="1" customWidth="1"/>
    <col min="7945" max="7945" width="73.1796875" style="59" customWidth="1"/>
    <col min="7946" max="7946" width="5.453125" style="59" bestFit="1" customWidth="1"/>
    <col min="7947" max="8192" width="12.453125" style="59"/>
    <col min="8193" max="8194" width="3.81640625" style="59" customWidth="1"/>
    <col min="8195" max="8195" width="37.7265625" style="59" bestFit="1" customWidth="1"/>
    <col min="8196" max="8196" width="6.54296875" style="59" bestFit="1" customWidth="1"/>
    <col min="8197" max="8197" width="5.54296875" style="59" bestFit="1" customWidth="1"/>
    <col min="8198" max="8198" width="5.81640625" style="59" bestFit="1" customWidth="1"/>
    <col min="8199" max="8199" width="12.1796875" style="59" bestFit="1" customWidth="1"/>
    <col min="8200" max="8200" width="9.81640625" style="59" bestFit="1" customWidth="1"/>
    <col min="8201" max="8201" width="73.1796875" style="59" customWidth="1"/>
    <col min="8202" max="8202" width="5.453125" style="59" bestFit="1" customWidth="1"/>
    <col min="8203" max="8448" width="12.453125" style="59"/>
    <col min="8449" max="8450" width="3.81640625" style="59" customWidth="1"/>
    <col min="8451" max="8451" width="37.7265625" style="59" bestFit="1" customWidth="1"/>
    <col min="8452" max="8452" width="6.54296875" style="59" bestFit="1" customWidth="1"/>
    <col min="8453" max="8453" width="5.54296875" style="59" bestFit="1" customWidth="1"/>
    <col min="8454" max="8454" width="5.81640625" style="59" bestFit="1" customWidth="1"/>
    <col min="8455" max="8455" width="12.1796875" style="59" bestFit="1" customWidth="1"/>
    <col min="8456" max="8456" width="9.81640625" style="59" bestFit="1" customWidth="1"/>
    <col min="8457" max="8457" width="73.1796875" style="59" customWidth="1"/>
    <col min="8458" max="8458" width="5.453125" style="59" bestFit="1" customWidth="1"/>
    <col min="8459" max="8704" width="12.453125" style="59"/>
    <col min="8705" max="8706" width="3.81640625" style="59" customWidth="1"/>
    <col min="8707" max="8707" width="37.7265625" style="59" bestFit="1" customWidth="1"/>
    <col min="8708" max="8708" width="6.54296875" style="59" bestFit="1" customWidth="1"/>
    <col min="8709" max="8709" width="5.54296875" style="59" bestFit="1" customWidth="1"/>
    <col min="8710" max="8710" width="5.81640625" style="59" bestFit="1" customWidth="1"/>
    <col min="8711" max="8711" width="12.1796875" style="59" bestFit="1" customWidth="1"/>
    <col min="8712" max="8712" width="9.81640625" style="59" bestFit="1" customWidth="1"/>
    <col min="8713" max="8713" width="73.1796875" style="59" customWidth="1"/>
    <col min="8714" max="8714" width="5.453125" style="59" bestFit="1" customWidth="1"/>
    <col min="8715" max="8960" width="12.453125" style="59"/>
    <col min="8961" max="8962" width="3.81640625" style="59" customWidth="1"/>
    <col min="8963" max="8963" width="37.7265625" style="59" bestFit="1" customWidth="1"/>
    <col min="8964" max="8964" width="6.54296875" style="59" bestFit="1" customWidth="1"/>
    <col min="8965" max="8965" width="5.54296875" style="59" bestFit="1" customWidth="1"/>
    <col min="8966" max="8966" width="5.81640625" style="59" bestFit="1" customWidth="1"/>
    <col min="8967" max="8967" width="12.1796875" style="59" bestFit="1" customWidth="1"/>
    <col min="8968" max="8968" width="9.81640625" style="59" bestFit="1" customWidth="1"/>
    <col min="8969" max="8969" width="73.1796875" style="59" customWidth="1"/>
    <col min="8970" max="8970" width="5.453125" style="59" bestFit="1" customWidth="1"/>
    <col min="8971" max="9216" width="12.453125" style="59"/>
    <col min="9217" max="9218" width="3.81640625" style="59" customWidth="1"/>
    <col min="9219" max="9219" width="37.7265625" style="59" bestFit="1" customWidth="1"/>
    <col min="9220" max="9220" width="6.54296875" style="59" bestFit="1" customWidth="1"/>
    <col min="9221" max="9221" width="5.54296875" style="59" bestFit="1" customWidth="1"/>
    <col min="9222" max="9222" width="5.81640625" style="59" bestFit="1" customWidth="1"/>
    <col min="9223" max="9223" width="12.1796875" style="59" bestFit="1" customWidth="1"/>
    <col min="9224" max="9224" width="9.81640625" style="59" bestFit="1" customWidth="1"/>
    <col min="9225" max="9225" width="73.1796875" style="59" customWidth="1"/>
    <col min="9226" max="9226" width="5.453125" style="59" bestFit="1" customWidth="1"/>
    <col min="9227" max="9472" width="12.453125" style="59"/>
    <col min="9473" max="9474" width="3.81640625" style="59" customWidth="1"/>
    <col min="9475" max="9475" width="37.7265625" style="59" bestFit="1" customWidth="1"/>
    <col min="9476" max="9476" width="6.54296875" style="59" bestFit="1" customWidth="1"/>
    <col min="9477" max="9477" width="5.54296875" style="59" bestFit="1" customWidth="1"/>
    <col min="9478" max="9478" width="5.81640625" style="59" bestFit="1" customWidth="1"/>
    <col min="9479" max="9479" width="12.1796875" style="59" bestFit="1" customWidth="1"/>
    <col min="9480" max="9480" width="9.81640625" style="59" bestFit="1" customWidth="1"/>
    <col min="9481" max="9481" width="73.1796875" style="59" customWidth="1"/>
    <col min="9482" max="9482" width="5.453125" style="59" bestFit="1" customWidth="1"/>
    <col min="9483" max="9728" width="12.453125" style="59"/>
    <col min="9729" max="9730" width="3.81640625" style="59" customWidth="1"/>
    <col min="9731" max="9731" width="37.7265625" style="59" bestFit="1" customWidth="1"/>
    <col min="9732" max="9732" width="6.54296875" style="59" bestFit="1" customWidth="1"/>
    <col min="9733" max="9733" width="5.54296875" style="59" bestFit="1" customWidth="1"/>
    <col min="9734" max="9734" width="5.81640625" style="59" bestFit="1" customWidth="1"/>
    <col min="9735" max="9735" width="12.1796875" style="59" bestFit="1" customWidth="1"/>
    <col min="9736" max="9736" width="9.81640625" style="59" bestFit="1" customWidth="1"/>
    <col min="9737" max="9737" width="73.1796875" style="59" customWidth="1"/>
    <col min="9738" max="9738" width="5.453125" style="59" bestFit="1" customWidth="1"/>
    <col min="9739" max="9984" width="12.453125" style="59"/>
    <col min="9985" max="9986" width="3.81640625" style="59" customWidth="1"/>
    <col min="9987" max="9987" width="37.7265625" style="59" bestFit="1" customWidth="1"/>
    <col min="9988" max="9988" width="6.54296875" style="59" bestFit="1" customWidth="1"/>
    <col min="9989" max="9989" width="5.54296875" style="59" bestFit="1" customWidth="1"/>
    <col min="9990" max="9990" width="5.81640625" style="59" bestFit="1" customWidth="1"/>
    <col min="9991" max="9991" width="12.1796875" style="59" bestFit="1" customWidth="1"/>
    <col min="9992" max="9992" width="9.81640625" style="59" bestFit="1" customWidth="1"/>
    <col min="9993" max="9993" width="73.1796875" style="59" customWidth="1"/>
    <col min="9994" max="9994" width="5.453125" style="59" bestFit="1" customWidth="1"/>
    <col min="9995" max="10240" width="12.453125" style="59"/>
    <col min="10241" max="10242" width="3.81640625" style="59" customWidth="1"/>
    <col min="10243" max="10243" width="37.7265625" style="59" bestFit="1" customWidth="1"/>
    <col min="10244" max="10244" width="6.54296875" style="59" bestFit="1" customWidth="1"/>
    <col min="10245" max="10245" width="5.54296875" style="59" bestFit="1" customWidth="1"/>
    <col min="10246" max="10246" width="5.81640625" style="59" bestFit="1" customWidth="1"/>
    <col min="10247" max="10247" width="12.1796875" style="59" bestFit="1" customWidth="1"/>
    <col min="10248" max="10248" width="9.81640625" style="59" bestFit="1" customWidth="1"/>
    <col min="10249" max="10249" width="73.1796875" style="59" customWidth="1"/>
    <col min="10250" max="10250" width="5.453125" style="59" bestFit="1" customWidth="1"/>
    <col min="10251" max="10496" width="12.453125" style="59"/>
    <col min="10497" max="10498" width="3.81640625" style="59" customWidth="1"/>
    <col min="10499" max="10499" width="37.7265625" style="59" bestFit="1" customWidth="1"/>
    <col min="10500" max="10500" width="6.54296875" style="59" bestFit="1" customWidth="1"/>
    <col min="10501" max="10501" width="5.54296875" style="59" bestFit="1" customWidth="1"/>
    <col min="10502" max="10502" width="5.81640625" style="59" bestFit="1" customWidth="1"/>
    <col min="10503" max="10503" width="12.1796875" style="59" bestFit="1" customWidth="1"/>
    <col min="10504" max="10504" width="9.81640625" style="59" bestFit="1" customWidth="1"/>
    <col min="10505" max="10505" width="73.1796875" style="59" customWidth="1"/>
    <col min="10506" max="10506" width="5.453125" style="59" bestFit="1" customWidth="1"/>
    <col min="10507" max="10752" width="12.453125" style="59"/>
    <col min="10753" max="10754" width="3.81640625" style="59" customWidth="1"/>
    <col min="10755" max="10755" width="37.7265625" style="59" bestFit="1" customWidth="1"/>
    <col min="10756" max="10756" width="6.54296875" style="59" bestFit="1" customWidth="1"/>
    <col min="10757" max="10757" width="5.54296875" style="59" bestFit="1" customWidth="1"/>
    <col min="10758" max="10758" width="5.81640625" style="59" bestFit="1" customWidth="1"/>
    <col min="10759" max="10759" width="12.1796875" style="59" bestFit="1" customWidth="1"/>
    <col min="10760" max="10760" width="9.81640625" style="59" bestFit="1" customWidth="1"/>
    <col min="10761" max="10761" width="73.1796875" style="59" customWidth="1"/>
    <col min="10762" max="10762" width="5.453125" style="59" bestFit="1" customWidth="1"/>
    <col min="10763" max="11008" width="12.453125" style="59"/>
    <col min="11009" max="11010" width="3.81640625" style="59" customWidth="1"/>
    <col min="11011" max="11011" width="37.7265625" style="59" bestFit="1" customWidth="1"/>
    <col min="11012" max="11012" width="6.54296875" style="59" bestFit="1" customWidth="1"/>
    <col min="11013" max="11013" width="5.54296875" style="59" bestFit="1" customWidth="1"/>
    <col min="11014" max="11014" width="5.81640625" style="59" bestFit="1" customWidth="1"/>
    <col min="11015" max="11015" width="12.1796875" style="59" bestFit="1" customWidth="1"/>
    <col min="11016" max="11016" width="9.81640625" style="59" bestFit="1" customWidth="1"/>
    <col min="11017" max="11017" width="73.1796875" style="59" customWidth="1"/>
    <col min="11018" max="11018" width="5.453125" style="59" bestFit="1" customWidth="1"/>
    <col min="11019" max="11264" width="12.453125" style="59"/>
    <col min="11265" max="11266" width="3.81640625" style="59" customWidth="1"/>
    <col min="11267" max="11267" width="37.7265625" style="59" bestFit="1" customWidth="1"/>
    <col min="11268" max="11268" width="6.54296875" style="59" bestFit="1" customWidth="1"/>
    <col min="11269" max="11269" width="5.54296875" style="59" bestFit="1" customWidth="1"/>
    <col min="11270" max="11270" width="5.81640625" style="59" bestFit="1" customWidth="1"/>
    <col min="11271" max="11271" width="12.1796875" style="59" bestFit="1" customWidth="1"/>
    <col min="11272" max="11272" width="9.81640625" style="59" bestFit="1" customWidth="1"/>
    <col min="11273" max="11273" width="73.1796875" style="59" customWidth="1"/>
    <col min="11274" max="11274" width="5.453125" style="59" bestFit="1" customWidth="1"/>
    <col min="11275" max="11520" width="12.453125" style="59"/>
    <col min="11521" max="11522" width="3.81640625" style="59" customWidth="1"/>
    <col min="11523" max="11523" width="37.7265625" style="59" bestFit="1" customWidth="1"/>
    <col min="11524" max="11524" width="6.54296875" style="59" bestFit="1" customWidth="1"/>
    <col min="11525" max="11525" width="5.54296875" style="59" bestFit="1" customWidth="1"/>
    <col min="11526" max="11526" width="5.81640625" style="59" bestFit="1" customWidth="1"/>
    <col min="11527" max="11527" width="12.1796875" style="59" bestFit="1" customWidth="1"/>
    <col min="11528" max="11528" width="9.81640625" style="59" bestFit="1" customWidth="1"/>
    <col min="11529" max="11529" width="73.1796875" style="59" customWidth="1"/>
    <col min="11530" max="11530" width="5.453125" style="59" bestFit="1" customWidth="1"/>
    <col min="11531" max="11776" width="12.453125" style="59"/>
    <col min="11777" max="11778" width="3.81640625" style="59" customWidth="1"/>
    <col min="11779" max="11779" width="37.7265625" style="59" bestFit="1" customWidth="1"/>
    <col min="11780" max="11780" width="6.54296875" style="59" bestFit="1" customWidth="1"/>
    <col min="11781" max="11781" width="5.54296875" style="59" bestFit="1" customWidth="1"/>
    <col min="11782" max="11782" width="5.81640625" style="59" bestFit="1" customWidth="1"/>
    <col min="11783" max="11783" width="12.1796875" style="59" bestFit="1" customWidth="1"/>
    <col min="11784" max="11784" width="9.81640625" style="59" bestFit="1" customWidth="1"/>
    <col min="11785" max="11785" width="73.1796875" style="59" customWidth="1"/>
    <col min="11786" max="11786" width="5.453125" style="59" bestFit="1" customWidth="1"/>
    <col min="11787" max="12032" width="12.453125" style="59"/>
    <col min="12033" max="12034" width="3.81640625" style="59" customWidth="1"/>
    <col min="12035" max="12035" width="37.7265625" style="59" bestFit="1" customWidth="1"/>
    <col min="12036" max="12036" width="6.54296875" style="59" bestFit="1" customWidth="1"/>
    <col min="12037" max="12037" width="5.54296875" style="59" bestFit="1" customWidth="1"/>
    <col min="12038" max="12038" width="5.81640625" style="59" bestFit="1" customWidth="1"/>
    <col min="12039" max="12039" width="12.1796875" style="59" bestFit="1" customWidth="1"/>
    <col min="12040" max="12040" width="9.81640625" style="59" bestFit="1" customWidth="1"/>
    <col min="12041" max="12041" width="73.1796875" style="59" customWidth="1"/>
    <col min="12042" max="12042" width="5.453125" style="59" bestFit="1" customWidth="1"/>
    <col min="12043" max="12288" width="12.453125" style="59"/>
    <col min="12289" max="12290" width="3.81640625" style="59" customWidth="1"/>
    <col min="12291" max="12291" width="37.7265625" style="59" bestFit="1" customWidth="1"/>
    <col min="12292" max="12292" width="6.54296875" style="59" bestFit="1" customWidth="1"/>
    <col min="12293" max="12293" width="5.54296875" style="59" bestFit="1" customWidth="1"/>
    <col min="12294" max="12294" width="5.81640625" style="59" bestFit="1" customWidth="1"/>
    <col min="12295" max="12295" width="12.1796875" style="59" bestFit="1" customWidth="1"/>
    <col min="12296" max="12296" width="9.81640625" style="59" bestFit="1" customWidth="1"/>
    <col min="12297" max="12297" width="73.1796875" style="59" customWidth="1"/>
    <col min="12298" max="12298" width="5.453125" style="59" bestFit="1" customWidth="1"/>
    <col min="12299" max="12544" width="12.453125" style="59"/>
    <col min="12545" max="12546" width="3.81640625" style="59" customWidth="1"/>
    <col min="12547" max="12547" width="37.7265625" style="59" bestFit="1" customWidth="1"/>
    <col min="12548" max="12548" width="6.54296875" style="59" bestFit="1" customWidth="1"/>
    <col min="12549" max="12549" width="5.54296875" style="59" bestFit="1" customWidth="1"/>
    <col min="12550" max="12550" width="5.81640625" style="59" bestFit="1" customWidth="1"/>
    <col min="12551" max="12551" width="12.1796875" style="59" bestFit="1" customWidth="1"/>
    <col min="12552" max="12552" width="9.81640625" style="59" bestFit="1" customWidth="1"/>
    <col min="12553" max="12553" width="73.1796875" style="59" customWidth="1"/>
    <col min="12554" max="12554" width="5.453125" style="59" bestFit="1" customWidth="1"/>
    <col min="12555" max="12800" width="12.453125" style="59"/>
    <col min="12801" max="12802" width="3.81640625" style="59" customWidth="1"/>
    <col min="12803" max="12803" width="37.7265625" style="59" bestFit="1" customWidth="1"/>
    <col min="12804" max="12804" width="6.54296875" style="59" bestFit="1" customWidth="1"/>
    <col min="12805" max="12805" width="5.54296875" style="59" bestFit="1" customWidth="1"/>
    <col min="12806" max="12806" width="5.81640625" style="59" bestFit="1" customWidth="1"/>
    <col min="12807" max="12807" width="12.1796875" style="59" bestFit="1" customWidth="1"/>
    <col min="12808" max="12808" width="9.81640625" style="59" bestFit="1" customWidth="1"/>
    <col min="12809" max="12809" width="73.1796875" style="59" customWidth="1"/>
    <col min="12810" max="12810" width="5.453125" style="59" bestFit="1" customWidth="1"/>
    <col min="12811" max="13056" width="12.453125" style="59"/>
    <col min="13057" max="13058" width="3.81640625" style="59" customWidth="1"/>
    <col min="13059" max="13059" width="37.7265625" style="59" bestFit="1" customWidth="1"/>
    <col min="13060" max="13060" width="6.54296875" style="59" bestFit="1" customWidth="1"/>
    <col min="13061" max="13061" width="5.54296875" style="59" bestFit="1" customWidth="1"/>
    <col min="13062" max="13062" width="5.81640625" style="59" bestFit="1" customWidth="1"/>
    <col min="13063" max="13063" width="12.1796875" style="59" bestFit="1" customWidth="1"/>
    <col min="13064" max="13064" width="9.81640625" style="59" bestFit="1" customWidth="1"/>
    <col min="13065" max="13065" width="73.1796875" style="59" customWidth="1"/>
    <col min="13066" max="13066" width="5.453125" style="59" bestFit="1" customWidth="1"/>
    <col min="13067" max="13312" width="12.453125" style="59"/>
    <col min="13313" max="13314" width="3.81640625" style="59" customWidth="1"/>
    <col min="13315" max="13315" width="37.7265625" style="59" bestFit="1" customWidth="1"/>
    <col min="13316" max="13316" width="6.54296875" style="59" bestFit="1" customWidth="1"/>
    <col min="13317" max="13317" width="5.54296875" style="59" bestFit="1" customWidth="1"/>
    <col min="13318" max="13318" width="5.81640625" style="59" bestFit="1" customWidth="1"/>
    <col min="13319" max="13319" width="12.1796875" style="59" bestFit="1" customWidth="1"/>
    <col min="13320" max="13320" width="9.81640625" style="59" bestFit="1" customWidth="1"/>
    <col min="13321" max="13321" width="73.1796875" style="59" customWidth="1"/>
    <col min="13322" max="13322" width="5.453125" style="59" bestFit="1" customWidth="1"/>
    <col min="13323" max="13568" width="12.453125" style="59"/>
    <col min="13569" max="13570" width="3.81640625" style="59" customWidth="1"/>
    <col min="13571" max="13571" width="37.7265625" style="59" bestFit="1" customWidth="1"/>
    <col min="13572" max="13572" width="6.54296875" style="59" bestFit="1" customWidth="1"/>
    <col min="13573" max="13573" width="5.54296875" style="59" bestFit="1" customWidth="1"/>
    <col min="13574" max="13574" width="5.81640625" style="59" bestFit="1" customWidth="1"/>
    <col min="13575" max="13575" width="12.1796875" style="59" bestFit="1" customWidth="1"/>
    <col min="13576" max="13576" width="9.81640625" style="59" bestFit="1" customWidth="1"/>
    <col min="13577" max="13577" width="73.1796875" style="59" customWidth="1"/>
    <col min="13578" max="13578" width="5.453125" style="59" bestFit="1" customWidth="1"/>
    <col min="13579" max="13824" width="12.453125" style="59"/>
    <col min="13825" max="13826" width="3.81640625" style="59" customWidth="1"/>
    <col min="13827" max="13827" width="37.7265625" style="59" bestFit="1" customWidth="1"/>
    <col min="13828" max="13828" width="6.54296875" style="59" bestFit="1" customWidth="1"/>
    <col min="13829" max="13829" width="5.54296875" style="59" bestFit="1" customWidth="1"/>
    <col min="13830" max="13830" width="5.81640625" style="59" bestFit="1" customWidth="1"/>
    <col min="13831" max="13831" width="12.1796875" style="59" bestFit="1" customWidth="1"/>
    <col min="13832" max="13832" width="9.81640625" style="59" bestFit="1" customWidth="1"/>
    <col min="13833" max="13833" width="73.1796875" style="59" customWidth="1"/>
    <col min="13834" max="13834" width="5.453125" style="59" bestFit="1" customWidth="1"/>
    <col min="13835" max="14080" width="12.453125" style="59"/>
    <col min="14081" max="14082" width="3.81640625" style="59" customWidth="1"/>
    <col min="14083" max="14083" width="37.7265625" style="59" bestFit="1" customWidth="1"/>
    <col min="14084" max="14084" width="6.54296875" style="59" bestFit="1" customWidth="1"/>
    <col min="14085" max="14085" width="5.54296875" style="59" bestFit="1" customWidth="1"/>
    <col min="14086" max="14086" width="5.81640625" style="59" bestFit="1" customWidth="1"/>
    <col min="14087" max="14087" width="12.1796875" style="59" bestFit="1" customWidth="1"/>
    <col min="14088" max="14088" width="9.81640625" style="59" bestFit="1" customWidth="1"/>
    <col min="14089" max="14089" width="73.1796875" style="59" customWidth="1"/>
    <col min="14090" max="14090" width="5.453125" style="59" bestFit="1" customWidth="1"/>
    <col min="14091" max="14336" width="12.453125" style="59"/>
    <col min="14337" max="14338" width="3.81640625" style="59" customWidth="1"/>
    <col min="14339" max="14339" width="37.7265625" style="59" bestFit="1" customWidth="1"/>
    <col min="14340" max="14340" width="6.54296875" style="59" bestFit="1" customWidth="1"/>
    <col min="14341" max="14341" width="5.54296875" style="59" bestFit="1" customWidth="1"/>
    <col min="14342" max="14342" width="5.81640625" style="59" bestFit="1" customWidth="1"/>
    <col min="14343" max="14343" width="12.1796875" style="59" bestFit="1" customWidth="1"/>
    <col min="14344" max="14344" width="9.81640625" style="59" bestFit="1" customWidth="1"/>
    <col min="14345" max="14345" width="73.1796875" style="59" customWidth="1"/>
    <col min="14346" max="14346" width="5.453125" style="59" bestFit="1" customWidth="1"/>
    <col min="14347" max="14592" width="12.453125" style="59"/>
    <col min="14593" max="14594" width="3.81640625" style="59" customWidth="1"/>
    <col min="14595" max="14595" width="37.7265625" style="59" bestFit="1" customWidth="1"/>
    <col min="14596" max="14596" width="6.54296875" style="59" bestFit="1" customWidth="1"/>
    <col min="14597" max="14597" width="5.54296875" style="59" bestFit="1" customWidth="1"/>
    <col min="14598" max="14598" width="5.81640625" style="59" bestFit="1" customWidth="1"/>
    <col min="14599" max="14599" width="12.1796875" style="59" bestFit="1" customWidth="1"/>
    <col min="14600" max="14600" width="9.81640625" style="59" bestFit="1" customWidth="1"/>
    <col min="14601" max="14601" width="73.1796875" style="59" customWidth="1"/>
    <col min="14602" max="14602" width="5.453125" style="59" bestFit="1" customWidth="1"/>
    <col min="14603" max="14848" width="12.453125" style="59"/>
    <col min="14849" max="14850" width="3.81640625" style="59" customWidth="1"/>
    <col min="14851" max="14851" width="37.7265625" style="59" bestFit="1" customWidth="1"/>
    <col min="14852" max="14852" width="6.54296875" style="59" bestFit="1" customWidth="1"/>
    <col min="14853" max="14853" width="5.54296875" style="59" bestFit="1" customWidth="1"/>
    <col min="14854" max="14854" width="5.81640625" style="59" bestFit="1" customWidth="1"/>
    <col min="14855" max="14855" width="12.1796875" style="59" bestFit="1" customWidth="1"/>
    <col min="14856" max="14856" width="9.81640625" style="59" bestFit="1" customWidth="1"/>
    <col min="14857" max="14857" width="73.1796875" style="59" customWidth="1"/>
    <col min="14858" max="14858" width="5.453125" style="59" bestFit="1" customWidth="1"/>
    <col min="14859" max="15104" width="12.453125" style="59"/>
    <col min="15105" max="15106" width="3.81640625" style="59" customWidth="1"/>
    <col min="15107" max="15107" width="37.7265625" style="59" bestFit="1" customWidth="1"/>
    <col min="15108" max="15108" width="6.54296875" style="59" bestFit="1" customWidth="1"/>
    <col min="15109" max="15109" width="5.54296875" style="59" bestFit="1" customWidth="1"/>
    <col min="15110" max="15110" width="5.81640625" style="59" bestFit="1" customWidth="1"/>
    <col min="15111" max="15111" width="12.1796875" style="59" bestFit="1" customWidth="1"/>
    <col min="15112" max="15112" width="9.81640625" style="59" bestFit="1" customWidth="1"/>
    <col min="15113" max="15113" width="73.1796875" style="59" customWidth="1"/>
    <col min="15114" max="15114" width="5.453125" style="59" bestFit="1" customWidth="1"/>
    <col min="15115" max="15360" width="12.453125" style="59"/>
    <col min="15361" max="15362" width="3.81640625" style="59" customWidth="1"/>
    <col min="15363" max="15363" width="37.7265625" style="59" bestFit="1" customWidth="1"/>
    <col min="15364" max="15364" width="6.54296875" style="59" bestFit="1" customWidth="1"/>
    <col min="15365" max="15365" width="5.54296875" style="59" bestFit="1" customWidth="1"/>
    <col min="15366" max="15366" width="5.81640625" style="59" bestFit="1" customWidth="1"/>
    <col min="15367" max="15367" width="12.1796875" style="59" bestFit="1" customWidth="1"/>
    <col min="15368" max="15368" width="9.81640625" style="59" bestFit="1" customWidth="1"/>
    <col min="15369" max="15369" width="73.1796875" style="59" customWidth="1"/>
    <col min="15370" max="15370" width="5.453125" style="59" bestFit="1" customWidth="1"/>
    <col min="15371" max="15616" width="12.453125" style="59"/>
    <col min="15617" max="15618" width="3.81640625" style="59" customWidth="1"/>
    <col min="15619" max="15619" width="37.7265625" style="59" bestFit="1" customWidth="1"/>
    <col min="15620" max="15620" width="6.54296875" style="59" bestFit="1" customWidth="1"/>
    <col min="15621" max="15621" width="5.54296875" style="59" bestFit="1" customWidth="1"/>
    <col min="15622" max="15622" width="5.81640625" style="59" bestFit="1" customWidth="1"/>
    <col min="15623" max="15623" width="12.1796875" style="59" bestFit="1" customWidth="1"/>
    <col min="15624" max="15624" width="9.81640625" style="59" bestFit="1" customWidth="1"/>
    <col min="15625" max="15625" width="73.1796875" style="59" customWidth="1"/>
    <col min="15626" max="15626" width="5.453125" style="59" bestFit="1" customWidth="1"/>
    <col min="15627" max="15872" width="12.453125" style="59"/>
    <col min="15873" max="15874" width="3.81640625" style="59" customWidth="1"/>
    <col min="15875" max="15875" width="37.7265625" style="59" bestFit="1" customWidth="1"/>
    <col min="15876" max="15876" width="6.54296875" style="59" bestFit="1" customWidth="1"/>
    <col min="15877" max="15877" width="5.54296875" style="59" bestFit="1" customWidth="1"/>
    <col min="15878" max="15878" width="5.81640625" style="59" bestFit="1" customWidth="1"/>
    <col min="15879" max="15879" width="12.1796875" style="59" bestFit="1" customWidth="1"/>
    <col min="15880" max="15880" width="9.81640625" style="59" bestFit="1" customWidth="1"/>
    <col min="15881" max="15881" width="73.1796875" style="59" customWidth="1"/>
    <col min="15882" max="15882" width="5.453125" style="59" bestFit="1" customWidth="1"/>
    <col min="15883" max="16128" width="12.453125" style="59"/>
    <col min="16129" max="16130" width="3.81640625" style="59" customWidth="1"/>
    <col min="16131" max="16131" width="37.7265625" style="59" bestFit="1" customWidth="1"/>
    <col min="16132" max="16132" width="6.54296875" style="59" bestFit="1" customWidth="1"/>
    <col min="16133" max="16133" width="5.54296875" style="59" bestFit="1" customWidth="1"/>
    <col min="16134" max="16134" width="5.81640625" style="59" bestFit="1" customWidth="1"/>
    <col min="16135" max="16135" width="12.1796875" style="59" bestFit="1" customWidth="1"/>
    <col min="16136" max="16136" width="9.81640625" style="59" bestFit="1" customWidth="1"/>
    <col min="16137" max="16137" width="73.1796875" style="59" customWidth="1"/>
    <col min="16138" max="16138" width="5.453125" style="59" bestFit="1" customWidth="1"/>
    <col min="16139" max="16384" width="12.453125" style="59"/>
  </cols>
  <sheetData>
    <row r="1" spans="2:10">
      <c r="B1" s="57" t="s">
        <v>498</v>
      </c>
      <c r="C1" s="58"/>
      <c r="F1" s="60"/>
    </row>
    <row r="2" spans="2:10">
      <c r="B2" s="60" t="s">
        <v>1</v>
      </c>
    </row>
    <row r="3" spans="2:10">
      <c r="B3" s="60" t="s">
        <v>2</v>
      </c>
    </row>
    <row r="4" spans="2:10" ht="55.5" customHeight="1">
      <c r="B4" s="60"/>
      <c r="I4" s="62" t="s">
        <v>3</v>
      </c>
    </row>
    <row r="5" spans="2:10" ht="11.25" customHeight="1" thickBot="1"/>
    <row r="6" spans="2:10" ht="12.75" customHeight="1">
      <c r="B6" s="63"/>
      <c r="C6" s="64"/>
      <c r="D6" s="65" t="s">
        <v>4</v>
      </c>
      <c r="E6" s="65"/>
      <c r="F6" s="65"/>
      <c r="G6" s="66"/>
      <c r="H6" s="66"/>
      <c r="I6" s="66"/>
      <c r="J6" s="67"/>
    </row>
    <row r="7" spans="2:10" ht="14.5" thickBot="1">
      <c r="B7" s="68"/>
      <c r="C7" s="69"/>
      <c r="D7" s="70" t="s">
        <v>5</v>
      </c>
      <c r="E7" s="70" t="s">
        <v>6</v>
      </c>
      <c r="F7" s="70" t="s">
        <v>7</v>
      </c>
      <c r="G7" s="70" t="s">
        <v>8</v>
      </c>
      <c r="H7" s="70" t="s">
        <v>9</v>
      </c>
      <c r="I7" s="71" t="s">
        <v>10</v>
      </c>
      <c r="J7" s="72" t="s">
        <v>11</v>
      </c>
    </row>
    <row r="8" spans="2:10" ht="35">
      <c r="B8" s="73">
        <v>1</v>
      </c>
      <c r="C8" s="74" t="s">
        <v>12</v>
      </c>
      <c r="D8" s="75">
        <v>1</v>
      </c>
      <c r="E8" s="75">
        <f>+D8+F8-1</f>
        <v>4</v>
      </c>
      <c r="F8" s="75">
        <v>4</v>
      </c>
      <c r="G8" s="76" t="s">
        <v>13</v>
      </c>
      <c r="H8" s="75" t="s">
        <v>14</v>
      </c>
      <c r="I8" s="77" t="s">
        <v>15</v>
      </c>
      <c r="J8" s="78" t="s">
        <v>16</v>
      </c>
    </row>
    <row r="9" spans="2:10">
      <c r="B9" s="79">
        <v>2</v>
      </c>
      <c r="C9" s="183" t="s">
        <v>17</v>
      </c>
      <c r="D9" s="81">
        <f>+E8+1</f>
        <v>5</v>
      </c>
      <c r="E9" s="81">
        <f>+D9+F9-1</f>
        <v>8</v>
      </c>
      <c r="F9" s="81">
        <v>4</v>
      </c>
      <c r="G9" s="82" t="s">
        <v>13</v>
      </c>
      <c r="H9" s="81" t="s">
        <v>14</v>
      </c>
      <c r="I9" s="83" t="s">
        <v>18</v>
      </c>
      <c r="J9" s="84" t="s">
        <v>16</v>
      </c>
    </row>
    <row r="10" spans="2:10">
      <c r="B10" s="79">
        <v>3</v>
      </c>
      <c r="C10" s="183" t="s">
        <v>19</v>
      </c>
      <c r="D10" s="81">
        <f t="shared" ref="D10:D71" si="0">+E9+1</f>
        <v>9</v>
      </c>
      <c r="E10" s="81">
        <f t="shared" ref="E10:E35" si="1">+D10+F10-1</f>
        <v>15</v>
      </c>
      <c r="F10" s="81">
        <v>7</v>
      </c>
      <c r="G10" s="82" t="s">
        <v>13</v>
      </c>
      <c r="H10" s="81" t="s">
        <v>14</v>
      </c>
      <c r="I10" s="83" t="s">
        <v>20</v>
      </c>
      <c r="J10" s="84" t="s">
        <v>16</v>
      </c>
    </row>
    <row r="11" spans="2:10">
      <c r="B11" s="79">
        <v>4</v>
      </c>
      <c r="C11" s="183" t="s">
        <v>21</v>
      </c>
      <c r="D11" s="81">
        <f t="shared" si="0"/>
        <v>16</v>
      </c>
      <c r="E11" s="81">
        <f t="shared" si="1"/>
        <v>22</v>
      </c>
      <c r="F11" s="81">
        <v>7</v>
      </c>
      <c r="G11" s="82" t="s">
        <v>13</v>
      </c>
      <c r="H11" s="81" t="s">
        <v>14</v>
      </c>
      <c r="I11" s="83" t="s">
        <v>22</v>
      </c>
      <c r="J11" s="84" t="s">
        <v>16</v>
      </c>
    </row>
    <row r="12" spans="2:10" ht="14.5">
      <c r="B12" s="85">
        <v>5</v>
      </c>
      <c r="C12" s="86" t="s">
        <v>23</v>
      </c>
      <c r="D12" s="87">
        <f t="shared" si="0"/>
        <v>23</v>
      </c>
      <c r="E12" s="87">
        <f t="shared" si="1"/>
        <v>25</v>
      </c>
      <c r="F12" s="87">
        <v>3</v>
      </c>
      <c r="G12" s="88" t="s">
        <v>13</v>
      </c>
      <c r="H12" s="87" t="s">
        <v>14</v>
      </c>
      <c r="I12" s="89" t="s">
        <v>24</v>
      </c>
      <c r="J12" s="84" t="s">
        <v>25</v>
      </c>
    </row>
    <row r="13" spans="2:10" ht="23.5">
      <c r="B13" s="79">
        <v>6</v>
      </c>
      <c r="C13" s="183" t="s">
        <v>26</v>
      </c>
      <c r="D13" s="81">
        <f t="shared" si="0"/>
        <v>26</v>
      </c>
      <c r="E13" s="81">
        <f t="shared" si="1"/>
        <v>33</v>
      </c>
      <c r="F13" s="81">
        <v>8</v>
      </c>
      <c r="G13" s="82" t="s">
        <v>27</v>
      </c>
      <c r="H13" s="81" t="s">
        <v>14</v>
      </c>
      <c r="I13" s="90" t="s">
        <v>28</v>
      </c>
      <c r="J13" s="84" t="s">
        <v>16</v>
      </c>
    </row>
    <row r="14" spans="2:10" ht="38.25" customHeight="1">
      <c r="B14" s="91">
        <v>7</v>
      </c>
      <c r="C14" s="183" t="s">
        <v>29</v>
      </c>
      <c r="D14" s="81">
        <f t="shared" si="0"/>
        <v>34</v>
      </c>
      <c r="E14" s="81">
        <f t="shared" si="1"/>
        <v>41</v>
      </c>
      <c r="F14" s="81">
        <v>8</v>
      </c>
      <c r="G14" s="82" t="s">
        <v>27</v>
      </c>
      <c r="H14" s="81" t="s">
        <v>14</v>
      </c>
      <c r="I14" s="92" t="s">
        <v>30</v>
      </c>
      <c r="J14" s="93" t="s">
        <v>16</v>
      </c>
    </row>
    <row r="15" spans="2:10">
      <c r="B15" s="79">
        <v>8</v>
      </c>
      <c r="C15" s="183" t="s">
        <v>31</v>
      </c>
      <c r="D15" s="95">
        <f t="shared" si="0"/>
        <v>42</v>
      </c>
      <c r="E15" s="95">
        <f t="shared" si="1"/>
        <v>42</v>
      </c>
      <c r="F15" s="95">
        <v>1</v>
      </c>
      <c r="G15" s="96" t="s">
        <v>13</v>
      </c>
      <c r="H15" s="95" t="s">
        <v>14</v>
      </c>
      <c r="I15" s="97" t="s">
        <v>32</v>
      </c>
      <c r="J15" s="84" t="s">
        <v>16</v>
      </c>
    </row>
    <row r="16" spans="2:10">
      <c r="B16" s="79">
        <v>9</v>
      </c>
      <c r="C16" s="183" t="s">
        <v>33</v>
      </c>
      <c r="D16" s="95">
        <f t="shared" si="0"/>
        <v>43</v>
      </c>
      <c r="E16" s="95">
        <f t="shared" si="1"/>
        <v>43</v>
      </c>
      <c r="F16" s="95">
        <v>1</v>
      </c>
      <c r="G16" s="96" t="s">
        <v>13</v>
      </c>
      <c r="H16" s="95" t="s">
        <v>14</v>
      </c>
      <c r="I16" s="97" t="s">
        <v>34</v>
      </c>
      <c r="J16" s="84" t="s">
        <v>16</v>
      </c>
    </row>
    <row r="17" spans="2:10">
      <c r="B17" s="79">
        <v>10</v>
      </c>
      <c r="C17" s="80" t="s">
        <v>35</v>
      </c>
      <c r="D17" s="81">
        <f t="shared" si="0"/>
        <v>44</v>
      </c>
      <c r="E17" s="81">
        <f t="shared" si="1"/>
        <v>50</v>
      </c>
      <c r="F17" s="81">
        <v>7</v>
      </c>
      <c r="G17" s="82" t="s">
        <v>13</v>
      </c>
      <c r="H17" s="81" t="s">
        <v>14</v>
      </c>
      <c r="I17" s="83" t="s">
        <v>36</v>
      </c>
      <c r="J17" s="84" t="s">
        <v>16</v>
      </c>
    </row>
    <row r="18" spans="2:10">
      <c r="B18" s="79">
        <v>11</v>
      </c>
      <c r="C18" s="183" t="s">
        <v>37</v>
      </c>
      <c r="D18" s="81">
        <f t="shared" si="0"/>
        <v>51</v>
      </c>
      <c r="E18" s="81">
        <f t="shared" si="1"/>
        <v>64</v>
      </c>
      <c r="F18" s="81">
        <v>14</v>
      </c>
      <c r="G18" s="82" t="s">
        <v>38</v>
      </c>
      <c r="H18" s="81" t="s">
        <v>39</v>
      </c>
      <c r="I18" s="83" t="s">
        <v>40</v>
      </c>
      <c r="J18" s="84" t="s">
        <v>16</v>
      </c>
    </row>
    <row r="19" spans="2:10">
      <c r="B19" s="79">
        <v>12</v>
      </c>
      <c r="C19" s="80" t="s">
        <v>41</v>
      </c>
      <c r="D19" s="81">
        <f t="shared" si="0"/>
        <v>65</v>
      </c>
      <c r="E19" s="81">
        <f t="shared" si="1"/>
        <v>80</v>
      </c>
      <c r="F19" s="81">
        <v>16</v>
      </c>
      <c r="G19" s="82" t="s">
        <v>42</v>
      </c>
      <c r="H19" s="81" t="s">
        <v>39</v>
      </c>
      <c r="I19" s="83" t="s">
        <v>43</v>
      </c>
      <c r="J19" s="84" t="s">
        <v>16</v>
      </c>
    </row>
    <row r="20" spans="2:10">
      <c r="B20" s="79">
        <v>13</v>
      </c>
      <c r="C20" s="80" t="s">
        <v>44</v>
      </c>
      <c r="D20" s="81">
        <f t="shared" si="0"/>
        <v>81</v>
      </c>
      <c r="E20" s="81">
        <f t="shared" si="1"/>
        <v>94</v>
      </c>
      <c r="F20" s="81">
        <v>14</v>
      </c>
      <c r="G20" s="82" t="s">
        <v>45</v>
      </c>
      <c r="H20" s="81" t="s">
        <v>14</v>
      </c>
      <c r="I20" s="83" t="s">
        <v>46</v>
      </c>
      <c r="J20" s="84" t="s">
        <v>16</v>
      </c>
    </row>
    <row r="21" spans="2:10">
      <c r="B21" s="79">
        <v>14</v>
      </c>
      <c r="C21" s="80" t="s">
        <v>47</v>
      </c>
      <c r="D21" s="81">
        <f t="shared" si="0"/>
        <v>95</v>
      </c>
      <c r="E21" s="81">
        <f t="shared" si="1"/>
        <v>108</v>
      </c>
      <c r="F21" s="81">
        <v>14</v>
      </c>
      <c r="G21" s="82" t="s">
        <v>45</v>
      </c>
      <c r="H21" s="81" t="s">
        <v>14</v>
      </c>
      <c r="I21" s="83" t="s">
        <v>48</v>
      </c>
      <c r="J21" s="84" t="s">
        <v>16</v>
      </c>
    </row>
    <row r="22" spans="2:10">
      <c r="B22" s="79">
        <v>15</v>
      </c>
      <c r="C22" s="183" t="s">
        <v>49</v>
      </c>
      <c r="D22" s="95">
        <f t="shared" si="0"/>
        <v>109</v>
      </c>
      <c r="E22" s="95">
        <f t="shared" si="1"/>
        <v>116</v>
      </c>
      <c r="F22" s="95">
        <v>8</v>
      </c>
      <c r="G22" s="96" t="s">
        <v>27</v>
      </c>
      <c r="H22" s="95" t="s">
        <v>14</v>
      </c>
      <c r="I22" s="98" t="s">
        <v>50</v>
      </c>
      <c r="J22" s="84" t="s">
        <v>16</v>
      </c>
    </row>
    <row r="23" spans="2:10">
      <c r="B23" s="79">
        <v>16</v>
      </c>
      <c r="C23" s="183" t="s">
        <v>51</v>
      </c>
      <c r="D23" s="95">
        <f t="shared" si="0"/>
        <v>117</v>
      </c>
      <c r="E23" s="95">
        <f t="shared" si="1"/>
        <v>133</v>
      </c>
      <c r="F23" s="95">
        <v>17</v>
      </c>
      <c r="G23" s="96" t="s">
        <v>52</v>
      </c>
      <c r="H23" s="95" t="s">
        <v>14</v>
      </c>
      <c r="I23" s="98" t="s">
        <v>53</v>
      </c>
      <c r="J23" s="84" t="s">
        <v>16</v>
      </c>
    </row>
    <row r="24" spans="2:10">
      <c r="B24" s="79">
        <v>17</v>
      </c>
      <c r="C24" s="80" t="s">
        <v>54</v>
      </c>
      <c r="D24" s="81">
        <f t="shared" si="0"/>
        <v>134</v>
      </c>
      <c r="E24" s="81">
        <f t="shared" si="1"/>
        <v>139</v>
      </c>
      <c r="F24" s="81">
        <v>6</v>
      </c>
      <c r="G24" s="82" t="s">
        <v>13</v>
      </c>
      <c r="H24" s="81" t="s">
        <v>39</v>
      </c>
      <c r="I24" s="83" t="s">
        <v>55</v>
      </c>
      <c r="J24" s="84" t="s">
        <v>16</v>
      </c>
    </row>
    <row r="25" spans="2:10">
      <c r="B25" s="79">
        <v>18</v>
      </c>
      <c r="C25" s="80" t="s">
        <v>56</v>
      </c>
      <c r="D25" s="81">
        <f t="shared" si="0"/>
        <v>140</v>
      </c>
      <c r="E25" s="81">
        <f t="shared" si="1"/>
        <v>157</v>
      </c>
      <c r="F25" s="81">
        <v>18</v>
      </c>
      <c r="G25" s="82" t="s">
        <v>13</v>
      </c>
      <c r="H25" s="81" t="s">
        <v>57</v>
      </c>
      <c r="I25" s="83" t="s">
        <v>58</v>
      </c>
      <c r="J25" s="84" t="s">
        <v>16</v>
      </c>
    </row>
    <row r="26" spans="2:10">
      <c r="B26" s="79">
        <v>19</v>
      </c>
      <c r="C26" s="80" t="s">
        <v>59</v>
      </c>
      <c r="D26" s="81">
        <f t="shared" si="0"/>
        <v>158</v>
      </c>
      <c r="E26" s="81">
        <f t="shared" si="1"/>
        <v>166</v>
      </c>
      <c r="F26" s="81">
        <v>9</v>
      </c>
      <c r="G26" s="82" t="s">
        <v>60</v>
      </c>
      <c r="H26" s="81" t="s">
        <v>57</v>
      </c>
      <c r="I26" s="83" t="s">
        <v>61</v>
      </c>
      <c r="J26" s="84" t="s">
        <v>16</v>
      </c>
    </row>
    <row r="27" spans="2:10">
      <c r="B27" s="79">
        <v>20</v>
      </c>
      <c r="C27" s="80" t="s">
        <v>62</v>
      </c>
      <c r="D27" s="81">
        <f t="shared" si="0"/>
        <v>167</v>
      </c>
      <c r="E27" s="81">
        <f t="shared" si="1"/>
        <v>167</v>
      </c>
      <c r="F27" s="81">
        <v>1</v>
      </c>
      <c r="G27" s="82" t="s">
        <v>13</v>
      </c>
      <c r="H27" s="81" t="s">
        <v>14</v>
      </c>
      <c r="I27" s="83" t="s">
        <v>63</v>
      </c>
      <c r="J27" s="84" t="s">
        <v>16</v>
      </c>
    </row>
    <row r="28" spans="2:10">
      <c r="B28" s="79">
        <v>21</v>
      </c>
      <c r="C28" s="80" t="s">
        <v>64</v>
      </c>
      <c r="D28" s="81">
        <f t="shared" si="0"/>
        <v>168</v>
      </c>
      <c r="E28" s="81">
        <f t="shared" si="1"/>
        <v>172</v>
      </c>
      <c r="F28" s="81">
        <v>5</v>
      </c>
      <c r="G28" s="82" t="s">
        <v>13</v>
      </c>
      <c r="H28" s="81" t="s">
        <v>14</v>
      </c>
      <c r="I28" s="83"/>
      <c r="J28" s="84" t="s">
        <v>16</v>
      </c>
    </row>
    <row r="29" spans="2:10" ht="14.5">
      <c r="B29" s="99">
        <v>22</v>
      </c>
      <c r="C29" s="100" t="s">
        <v>65</v>
      </c>
      <c r="D29" s="101">
        <f t="shared" si="0"/>
        <v>173</v>
      </c>
      <c r="E29" s="101">
        <f t="shared" si="1"/>
        <v>180</v>
      </c>
      <c r="F29" s="101">
        <v>8</v>
      </c>
      <c r="G29" s="102" t="s">
        <v>13</v>
      </c>
      <c r="H29" s="101" t="s">
        <v>14</v>
      </c>
      <c r="I29" s="103"/>
      <c r="J29" s="84" t="s">
        <v>25</v>
      </c>
    </row>
    <row r="30" spans="2:10" ht="14.5">
      <c r="B30" s="99">
        <v>23</v>
      </c>
      <c r="C30" s="100" t="s">
        <v>66</v>
      </c>
      <c r="D30" s="101">
        <f t="shared" si="0"/>
        <v>181</v>
      </c>
      <c r="E30" s="101">
        <f t="shared" si="1"/>
        <v>198</v>
      </c>
      <c r="F30" s="101">
        <v>18</v>
      </c>
      <c r="G30" s="102" t="s">
        <v>67</v>
      </c>
      <c r="H30" s="101" t="s">
        <v>39</v>
      </c>
      <c r="I30" s="103" t="s">
        <v>68</v>
      </c>
      <c r="J30" s="84" t="s">
        <v>25</v>
      </c>
    </row>
    <row r="31" spans="2:10" ht="14.5">
      <c r="B31" s="99">
        <v>24</v>
      </c>
      <c r="C31" s="100" t="s">
        <v>69</v>
      </c>
      <c r="D31" s="101">
        <f t="shared" si="0"/>
        <v>199</v>
      </c>
      <c r="E31" s="101">
        <f t="shared" si="1"/>
        <v>216</v>
      </c>
      <c r="F31" s="101">
        <v>18</v>
      </c>
      <c r="G31" s="102" t="s">
        <v>67</v>
      </c>
      <c r="H31" s="101" t="s">
        <v>39</v>
      </c>
      <c r="I31" s="103" t="s">
        <v>68</v>
      </c>
      <c r="J31" s="84" t="s">
        <v>25</v>
      </c>
    </row>
    <row r="32" spans="2:10">
      <c r="B32" s="79">
        <v>25</v>
      </c>
      <c r="C32" s="183" t="s">
        <v>70</v>
      </c>
      <c r="D32" s="81">
        <f t="shared" si="0"/>
        <v>217</v>
      </c>
      <c r="E32" s="81">
        <f t="shared" si="1"/>
        <v>234</v>
      </c>
      <c r="F32" s="81">
        <v>18</v>
      </c>
      <c r="G32" s="82" t="s">
        <v>67</v>
      </c>
      <c r="H32" s="81" t="s">
        <v>39</v>
      </c>
      <c r="I32" s="83" t="s">
        <v>68</v>
      </c>
      <c r="J32" s="84" t="s">
        <v>16</v>
      </c>
    </row>
    <row r="33" spans="2:10">
      <c r="B33" s="79">
        <v>26</v>
      </c>
      <c r="C33" s="183" t="s">
        <v>71</v>
      </c>
      <c r="D33" s="81">
        <f t="shared" si="0"/>
        <v>235</v>
      </c>
      <c r="E33" s="81">
        <f t="shared" si="1"/>
        <v>252</v>
      </c>
      <c r="F33" s="81">
        <v>18</v>
      </c>
      <c r="G33" s="82" t="s">
        <v>67</v>
      </c>
      <c r="H33" s="81" t="s">
        <v>39</v>
      </c>
      <c r="I33" s="83" t="s">
        <v>68</v>
      </c>
      <c r="J33" s="84" t="s">
        <v>16</v>
      </c>
    </row>
    <row r="34" spans="2:10">
      <c r="B34" s="79">
        <v>27</v>
      </c>
      <c r="C34" s="80" t="s">
        <v>72</v>
      </c>
      <c r="D34" s="81">
        <f t="shared" si="0"/>
        <v>253</v>
      </c>
      <c r="E34" s="81">
        <f t="shared" si="1"/>
        <v>402</v>
      </c>
      <c r="F34" s="81">
        <v>150</v>
      </c>
      <c r="G34" s="82" t="s">
        <v>13</v>
      </c>
      <c r="H34" s="81" t="s">
        <v>39</v>
      </c>
      <c r="I34" s="83" t="s">
        <v>73</v>
      </c>
      <c r="J34" s="84" t="s">
        <v>16</v>
      </c>
    </row>
    <row r="35" spans="2:10">
      <c r="B35" s="79">
        <v>28</v>
      </c>
      <c r="C35" s="183" t="s">
        <v>74</v>
      </c>
      <c r="D35" s="81">
        <f t="shared" si="0"/>
        <v>403</v>
      </c>
      <c r="E35" s="81">
        <f t="shared" si="1"/>
        <v>409</v>
      </c>
      <c r="F35" s="81">
        <v>7</v>
      </c>
      <c r="G35" s="82" t="s">
        <v>13</v>
      </c>
      <c r="H35" s="81" t="s">
        <v>14</v>
      </c>
      <c r="I35" s="83" t="s">
        <v>75</v>
      </c>
      <c r="J35" s="84" t="s">
        <v>16</v>
      </c>
    </row>
    <row r="36" spans="2:10">
      <c r="B36" s="79">
        <v>29</v>
      </c>
      <c r="C36" s="80" t="s">
        <v>76</v>
      </c>
      <c r="D36" s="81">
        <f t="shared" si="0"/>
        <v>410</v>
      </c>
      <c r="E36" s="81">
        <f>+D36+F36-1</f>
        <v>418</v>
      </c>
      <c r="F36" s="81">
        <v>9</v>
      </c>
      <c r="G36" s="82" t="s">
        <v>60</v>
      </c>
      <c r="H36" s="81" t="s">
        <v>14</v>
      </c>
      <c r="I36" s="83" t="s">
        <v>77</v>
      </c>
      <c r="J36" s="84" t="s">
        <v>16</v>
      </c>
    </row>
    <row r="37" spans="2:10" ht="23.5">
      <c r="B37" s="91">
        <v>30</v>
      </c>
      <c r="C37" s="80" t="s">
        <v>78</v>
      </c>
      <c r="D37" s="81">
        <f t="shared" si="0"/>
        <v>419</v>
      </c>
      <c r="E37" s="81">
        <f>+D37+F37-1</f>
        <v>436</v>
      </c>
      <c r="F37" s="81">
        <v>18</v>
      </c>
      <c r="G37" s="82" t="s">
        <v>67</v>
      </c>
      <c r="H37" s="81" t="s">
        <v>79</v>
      </c>
      <c r="I37" s="90" t="s">
        <v>80</v>
      </c>
      <c r="J37" s="84" t="s">
        <v>16</v>
      </c>
    </row>
    <row r="38" spans="2:10">
      <c r="B38" s="79">
        <v>31</v>
      </c>
      <c r="C38" s="80" t="s">
        <v>81</v>
      </c>
      <c r="D38" s="81">
        <f t="shared" si="0"/>
        <v>437</v>
      </c>
      <c r="E38" s="81">
        <f>+D38+F38-1</f>
        <v>454</v>
      </c>
      <c r="F38" s="81">
        <v>18</v>
      </c>
      <c r="G38" s="82" t="s">
        <v>67</v>
      </c>
      <c r="H38" s="81" t="s">
        <v>82</v>
      </c>
      <c r="I38" s="83" t="s">
        <v>83</v>
      </c>
      <c r="J38" s="84" t="s">
        <v>16</v>
      </c>
    </row>
    <row r="39" spans="2:10">
      <c r="B39" s="79">
        <v>32</v>
      </c>
      <c r="C39" s="183" t="s">
        <v>84</v>
      </c>
      <c r="D39" s="81">
        <f t="shared" si="0"/>
        <v>455</v>
      </c>
      <c r="E39" s="81">
        <f>+D39+F39-1</f>
        <v>455</v>
      </c>
      <c r="F39" s="81">
        <v>1</v>
      </c>
      <c r="G39" s="82" t="s">
        <v>85</v>
      </c>
      <c r="H39" s="81" t="s">
        <v>14</v>
      </c>
      <c r="I39" s="83" t="s">
        <v>86</v>
      </c>
      <c r="J39" s="84" t="s">
        <v>16</v>
      </c>
    </row>
    <row r="40" spans="2:10">
      <c r="B40" s="79">
        <v>33</v>
      </c>
      <c r="C40" s="183" t="s">
        <v>87</v>
      </c>
      <c r="D40" s="81">
        <f t="shared" si="0"/>
        <v>456</v>
      </c>
      <c r="E40" s="81">
        <f>+D40+F40-1</f>
        <v>463</v>
      </c>
      <c r="F40" s="81">
        <v>8</v>
      </c>
      <c r="G40" s="82" t="s">
        <v>13</v>
      </c>
      <c r="H40" s="81" t="s">
        <v>14</v>
      </c>
      <c r="I40" s="83" t="s">
        <v>88</v>
      </c>
      <c r="J40" s="84" t="s">
        <v>16</v>
      </c>
    </row>
    <row r="41" spans="2:10">
      <c r="B41" s="79">
        <v>34</v>
      </c>
      <c r="C41" s="183" t="s">
        <v>89</v>
      </c>
      <c r="D41" s="81">
        <f t="shared" si="0"/>
        <v>464</v>
      </c>
      <c r="E41" s="81">
        <f t="shared" ref="E41:E72" si="2">+D41+F41-1</f>
        <v>478</v>
      </c>
      <c r="F41" s="81">
        <v>15</v>
      </c>
      <c r="G41" s="82" t="s">
        <v>13</v>
      </c>
      <c r="H41" s="81" t="s">
        <v>14</v>
      </c>
      <c r="I41" s="83" t="s">
        <v>88</v>
      </c>
      <c r="J41" s="84" t="s">
        <v>16</v>
      </c>
    </row>
    <row r="42" spans="2:10">
      <c r="B42" s="79">
        <v>35</v>
      </c>
      <c r="C42" s="104" t="s">
        <v>90</v>
      </c>
      <c r="D42" s="105">
        <f t="shared" si="0"/>
        <v>479</v>
      </c>
      <c r="E42" s="105">
        <f t="shared" si="2"/>
        <v>480</v>
      </c>
      <c r="F42" s="105">
        <v>2</v>
      </c>
      <c r="G42" s="106" t="s">
        <v>13</v>
      </c>
      <c r="H42" s="105" t="s">
        <v>14</v>
      </c>
      <c r="I42" s="107" t="s">
        <v>91</v>
      </c>
      <c r="J42" s="84" t="s">
        <v>16</v>
      </c>
    </row>
    <row r="43" spans="2:10">
      <c r="B43" s="79">
        <v>36</v>
      </c>
      <c r="C43" s="104" t="s">
        <v>92</v>
      </c>
      <c r="D43" s="105">
        <f t="shared" si="0"/>
        <v>481</v>
      </c>
      <c r="E43" s="105">
        <f t="shared" si="2"/>
        <v>481</v>
      </c>
      <c r="F43" s="105">
        <v>1</v>
      </c>
      <c r="G43" s="106" t="s">
        <v>13</v>
      </c>
      <c r="H43" s="105" t="s">
        <v>14</v>
      </c>
      <c r="I43" s="108" t="s">
        <v>93</v>
      </c>
      <c r="J43" s="84" t="s">
        <v>16</v>
      </c>
    </row>
    <row r="44" spans="2:10">
      <c r="B44" s="79">
        <v>37</v>
      </c>
      <c r="C44" s="104" t="s">
        <v>94</v>
      </c>
      <c r="D44" s="105">
        <f t="shared" si="0"/>
        <v>482</v>
      </c>
      <c r="E44" s="105">
        <f t="shared" si="2"/>
        <v>482</v>
      </c>
      <c r="F44" s="105">
        <v>1</v>
      </c>
      <c r="G44" s="106" t="s">
        <v>13</v>
      </c>
      <c r="H44" s="105" t="s">
        <v>14</v>
      </c>
      <c r="I44" s="108" t="s">
        <v>95</v>
      </c>
      <c r="J44" s="84" t="s">
        <v>16</v>
      </c>
    </row>
    <row r="45" spans="2:10">
      <c r="B45" s="79">
        <v>38</v>
      </c>
      <c r="C45" s="104" t="s">
        <v>96</v>
      </c>
      <c r="D45" s="105">
        <f t="shared" si="0"/>
        <v>483</v>
      </c>
      <c r="E45" s="105">
        <f t="shared" si="2"/>
        <v>486</v>
      </c>
      <c r="F45" s="105">
        <v>4</v>
      </c>
      <c r="G45" s="106" t="s">
        <v>85</v>
      </c>
      <c r="H45" s="105" t="s">
        <v>14</v>
      </c>
      <c r="I45" s="107" t="s">
        <v>97</v>
      </c>
      <c r="J45" s="84" t="s">
        <v>16</v>
      </c>
    </row>
    <row r="46" spans="2:10">
      <c r="B46" s="79">
        <v>39</v>
      </c>
      <c r="C46" s="104" t="s">
        <v>98</v>
      </c>
      <c r="D46" s="105">
        <f t="shared" si="0"/>
        <v>487</v>
      </c>
      <c r="E46" s="105">
        <f t="shared" si="2"/>
        <v>494</v>
      </c>
      <c r="F46" s="105">
        <v>8</v>
      </c>
      <c r="G46" s="106" t="s">
        <v>99</v>
      </c>
      <c r="H46" s="105" t="s">
        <v>14</v>
      </c>
      <c r="I46" s="107" t="s">
        <v>100</v>
      </c>
      <c r="J46" s="84" t="s">
        <v>16</v>
      </c>
    </row>
    <row r="47" spans="2:10">
      <c r="B47" s="79">
        <v>40</v>
      </c>
      <c r="C47" s="104" t="s">
        <v>101</v>
      </c>
      <c r="D47" s="105">
        <f t="shared" si="0"/>
        <v>495</v>
      </c>
      <c r="E47" s="105">
        <f t="shared" si="2"/>
        <v>502</v>
      </c>
      <c r="F47" s="105">
        <v>8</v>
      </c>
      <c r="G47" s="106" t="s">
        <v>99</v>
      </c>
      <c r="H47" s="105" t="s">
        <v>14</v>
      </c>
      <c r="I47" s="107" t="s">
        <v>102</v>
      </c>
      <c r="J47" s="84" t="s">
        <v>16</v>
      </c>
    </row>
    <row r="48" spans="2:10">
      <c r="B48" s="79">
        <v>41</v>
      </c>
      <c r="C48" s="104" t="s">
        <v>103</v>
      </c>
      <c r="D48" s="105">
        <f t="shared" si="0"/>
        <v>503</v>
      </c>
      <c r="E48" s="105">
        <f t="shared" si="2"/>
        <v>505</v>
      </c>
      <c r="F48" s="105">
        <v>3</v>
      </c>
      <c r="G48" s="106" t="s">
        <v>13</v>
      </c>
      <c r="H48" s="105" t="s">
        <v>14</v>
      </c>
      <c r="I48" s="107" t="s">
        <v>91</v>
      </c>
      <c r="J48" s="84" t="s">
        <v>16</v>
      </c>
    </row>
    <row r="49" spans="2:10">
      <c r="B49" s="79">
        <v>42</v>
      </c>
      <c r="C49" s="104" t="s">
        <v>104</v>
      </c>
      <c r="D49" s="105">
        <f t="shared" si="0"/>
        <v>506</v>
      </c>
      <c r="E49" s="105">
        <f t="shared" si="2"/>
        <v>508</v>
      </c>
      <c r="F49" s="105">
        <v>3</v>
      </c>
      <c r="G49" s="106" t="s">
        <v>13</v>
      </c>
      <c r="H49" s="105" t="s">
        <v>14</v>
      </c>
      <c r="I49" s="107" t="s">
        <v>91</v>
      </c>
      <c r="J49" s="84" t="s">
        <v>16</v>
      </c>
    </row>
    <row r="50" spans="2:10">
      <c r="B50" s="79">
        <v>43</v>
      </c>
      <c r="C50" s="104" t="s">
        <v>105</v>
      </c>
      <c r="D50" s="105">
        <f t="shared" si="0"/>
        <v>509</v>
      </c>
      <c r="E50" s="105">
        <f t="shared" si="2"/>
        <v>511</v>
      </c>
      <c r="F50" s="105">
        <v>3</v>
      </c>
      <c r="G50" s="106" t="s">
        <v>13</v>
      </c>
      <c r="H50" s="105" t="s">
        <v>82</v>
      </c>
      <c r="I50" s="83" t="s">
        <v>106</v>
      </c>
      <c r="J50" s="84" t="s">
        <v>16</v>
      </c>
    </row>
    <row r="51" spans="2:10">
      <c r="B51" s="79">
        <v>44</v>
      </c>
      <c r="C51" s="104" t="s">
        <v>107</v>
      </c>
      <c r="D51" s="105">
        <f t="shared" si="0"/>
        <v>512</v>
      </c>
      <c r="E51" s="105">
        <f t="shared" si="2"/>
        <v>514</v>
      </c>
      <c r="F51" s="105">
        <v>3</v>
      </c>
      <c r="G51" s="106" t="s">
        <v>13</v>
      </c>
      <c r="H51" s="105" t="s">
        <v>82</v>
      </c>
      <c r="I51" s="83" t="s">
        <v>106</v>
      </c>
      <c r="J51" s="84" t="s">
        <v>16</v>
      </c>
    </row>
    <row r="52" spans="2:10">
      <c r="B52" s="79">
        <v>45</v>
      </c>
      <c r="C52" s="104" t="s">
        <v>108</v>
      </c>
      <c r="D52" s="105">
        <f t="shared" si="0"/>
        <v>515</v>
      </c>
      <c r="E52" s="105">
        <f t="shared" si="2"/>
        <v>524</v>
      </c>
      <c r="F52" s="105">
        <v>10</v>
      </c>
      <c r="G52" s="106" t="s">
        <v>85</v>
      </c>
      <c r="H52" s="105" t="s">
        <v>109</v>
      </c>
      <c r="I52" s="107" t="s">
        <v>110</v>
      </c>
      <c r="J52" s="84" t="s">
        <v>16</v>
      </c>
    </row>
    <row r="53" spans="2:10">
      <c r="B53" s="79">
        <v>46</v>
      </c>
      <c r="C53" s="183" t="s">
        <v>111</v>
      </c>
      <c r="D53" s="105">
        <f t="shared" si="0"/>
        <v>525</v>
      </c>
      <c r="E53" s="105">
        <f t="shared" si="2"/>
        <v>538</v>
      </c>
      <c r="F53" s="105">
        <v>14</v>
      </c>
      <c r="G53" s="82" t="s">
        <v>112</v>
      </c>
      <c r="H53" s="105" t="s">
        <v>113</v>
      </c>
      <c r="I53" s="107" t="s">
        <v>114</v>
      </c>
      <c r="J53" s="84" t="s">
        <v>16</v>
      </c>
    </row>
    <row r="54" spans="2:10">
      <c r="B54" s="79">
        <v>47</v>
      </c>
      <c r="C54" s="104" t="s">
        <v>115</v>
      </c>
      <c r="D54" s="105">
        <f t="shared" si="0"/>
        <v>539</v>
      </c>
      <c r="E54" s="105">
        <f t="shared" si="2"/>
        <v>558</v>
      </c>
      <c r="F54" s="105">
        <v>20</v>
      </c>
      <c r="G54" s="106" t="s">
        <v>13</v>
      </c>
      <c r="H54" s="105" t="s">
        <v>109</v>
      </c>
      <c r="I54" s="107" t="s">
        <v>116</v>
      </c>
      <c r="J54" s="84" t="s">
        <v>16</v>
      </c>
    </row>
    <row r="55" spans="2:10">
      <c r="B55" s="79">
        <v>48</v>
      </c>
      <c r="C55" s="104" t="s">
        <v>117</v>
      </c>
      <c r="D55" s="105">
        <f t="shared" si="0"/>
        <v>559</v>
      </c>
      <c r="E55" s="105">
        <f t="shared" si="2"/>
        <v>576</v>
      </c>
      <c r="F55" s="105">
        <v>18</v>
      </c>
      <c r="G55" s="106" t="s">
        <v>67</v>
      </c>
      <c r="H55" s="105" t="s">
        <v>118</v>
      </c>
      <c r="I55" s="107" t="s">
        <v>119</v>
      </c>
      <c r="J55" s="84" t="s">
        <v>16</v>
      </c>
    </row>
    <row r="56" spans="2:10">
      <c r="B56" s="79">
        <v>49</v>
      </c>
      <c r="C56" s="80" t="s">
        <v>120</v>
      </c>
      <c r="D56" s="81">
        <f t="shared" si="0"/>
        <v>577</v>
      </c>
      <c r="E56" s="81">
        <f t="shared" si="2"/>
        <v>584</v>
      </c>
      <c r="F56" s="81">
        <v>8</v>
      </c>
      <c r="G56" s="82" t="s">
        <v>121</v>
      </c>
      <c r="H56" s="81" t="s">
        <v>82</v>
      </c>
      <c r="I56" s="83" t="s">
        <v>122</v>
      </c>
      <c r="J56" s="84" t="s">
        <v>16</v>
      </c>
    </row>
    <row r="57" spans="2:10" ht="23.5">
      <c r="B57" s="91">
        <v>50</v>
      </c>
      <c r="C57" s="80" t="s">
        <v>123</v>
      </c>
      <c r="D57" s="81">
        <f t="shared" si="0"/>
        <v>585</v>
      </c>
      <c r="E57" s="81">
        <f t="shared" si="2"/>
        <v>598</v>
      </c>
      <c r="F57" s="81">
        <v>14</v>
      </c>
      <c r="G57" s="82" t="s">
        <v>13</v>
      </c>
      <c r="H57" s="81" t="s">
        <v>109</v>
      </c>
      <c r="I57" s="90" t="s">
        <v>124</v>
      </c>
      <c r="J57" s="84" t="s">
        <v>16</v>
      </c>
    </row>
    <row r="58" spans="2:10">
      <c r="B58" s="79">
        <v>51</v>
      </c>
      <c r="C58" s="183" t="s">
        <v>125</v>
      </c>
      <c r="D58" s="81">
        <f t="shared" si="0"/>
        <v>599</v>
      </c>
      <c r="E58" s="81">
        <f t="shared" si="2"/>
        <v>601</v>
      </c>
      <c r="F58" s="81">
        <v>3</v>
      </c>
      <c r="G58" s="82" t="s">
        <v>13</v>
      </c>
      <c r="H58" s="81" t="s">
        <v>109</v>
      </c>
      <c r="I58" s="83" t="s">
        <v>91</v>
      </c>
      <c r="J58" s="84" t="s">
        <v>16</v>
      </c>
    </row>
    <row r="59" spans="2:10">
      <c r="B59" s="79">
        <v>52</v>
      </c>
      <c r="C59" s="80" t="s">
        <v>126</v>
      </c>
      <c r="D59" s="81">
        <f t="shared" si="0"/>
        <v>602</v>
      </c>
      <c r="E59" s="81">
        <f t="shared" si="2"/>
        <v>608</v>
      </c>
      <c r="F59" s="81">
        <v>7</v>
      </c>
      <c r="G59" s="82" t="s">
        <v>13</v>
      </c>
      <c r="H59" s="81" t="s">
        <v>127</v>
      </c>
      <c r="I59" s="83" t="s">
        <v>88</v>
      </c>
      <c r="J59" s="84" t="s">
        <v>16</v>
      </c>
    </row>
    <row r="60" spans="2:10">
      <c r="B60" s="79">
        <v>53</v>
      </c>
      <c r="C60" s="183" t="s">
        <v>128</v>
      </c>
      <c r="D60" s="81">
        <f t="shared" si="0"/>
        <v>609</v>
      </c>
      <c r="E60" s="81">
        <f t="shared" si="2"/>
        <v>616</v>
      </c>
      <c r="F60" s="81">
        <v>8</v>
      </c>
      <c r="G60" s="82" t="s">
        <v>13</v>
      </c>
      <c r="H60" s="81" t="s">
        <v>127</v>
      </c>
      <c r="I60" s="83" t="s">
        <v>88</v>
      </c>
      <c r="J60" s="84" t="s">
        <v>16</v>
      </c>
    </row>
    <row r="61" spans="2:10">
      <c r="B61" s="79">
        <v>54</v>
      </c>
      <c r="C61" s="183" t="s">
        <v>129</v>
      </c>
      <c r="D61" s="81">
        <f t="shared" si="0"/>
        <v>617</v>
      </c>
      <c r="E61" s="81">
        <f t="shared" si="2"/>
        <v>631</v>
      </c>
      <c r="F61" s="81">
        <v>15</v>
      </c>
      <c r="G61" s="82" t="s">
        <v>13</v>
      </c>
      <c r="H61" s="81" t="s">
        <v>127</v>
      </c>
      <c r="I61" s="83" t="s">
        <v>88</v>
      </c>
      <c r="J61" s="84" t="s">
        <v>16</v>
      </c>
    </row>
    <row r="62" spans="2:10">
      <c r="B62" s="79">
        <v>55</v>
      </c>
      <c r="C62" s="183" t="s">
        <v>44</v>
      </c>
      <c r="D62" s="81">
        <f t="shared" si="0"/>
        <v>632</v>
      </c>
      <c r="E62" s="81">
        <f t="shared" si="2"/>
        <v>646</v>
      </c>
      <c r="F62" s="81">
        <v>15</v>
      </c>
      <c r="G62" s="82" t="s">
        <v>130</v>
      </c>
      <c r="H62" s="81" t="s">
        <v>14</v>
      </c>
      <c r="I62" s="83" t="s">
        <v>131</v>
      </c>
      <c r="J62" s="84" t="s">
        <v>132</v>
      </c>
    </row>
    <row r="63" spans="2:10" ht="23.5">
      <c r="B63" s="91">
        <v>56</v>
      </c>
      <c r="C63" s="183" t="s">
        <v>47</v>
      </c>
      <c r="D63" s="81">
        <f t="shared" si="0"/>
        <v>647</v>
      </c>
      <c r="E63" s="81">
        <f t="shared" si="2"/>
        <v>661</v>
      </c>
      <c r="F63" s="81">
        <v>15</v>
      </c>
      <c r="G63" s="82" t="s">
        <v>130</v>
      </c>
      <c r="H63" s="81" t="s">
        <v>14</v>
      </c>
      <c r="I63" s="90" t="s">
        <v>133</v>
      </c>
      <c r="J63" s="84" t="s">
        <v>132</v>
      </c>
    </row>
    <row r="64" spans="2:10">
      <c r="B64" s="79">
        <v>57</v>
      </c>
      <c r="C64" s="80" t="s">
        <v>134</v>
      </c>
      <c r="D64" s="81">
        <f t="shared" si="0"/>
        <v>662</v>
      </c>
      <c r="E64" s="81">
        <f t="shared" si="2"/>
        <v>671</v>
      </c>
      <c r="F64" s="81">
        <v>10</v>
      </c>
      <c r="G64" s="82" t="s">
        <v>13</v>
      </c>
      <c r="H64" s="81" t="s">
        <v>14</v>
      </c>
      <c r="I64" s="83" t="s">
        <v>135</v>
      </c>
      <c r="J64" s="84" t="s">
        <v>16</v>
      </c>
    </row>
    <row r="65" spans="2:10" ht="23.5">
      <c r="B65" s="91">
        <v>58</v>
      </c>
      <c r="C65" s="80" t="s">
        <v>136</v>
      </c>
      <c r="D65" s="81">
        <f t="shared" si="0"/>
        <v>672</v>
      </c>
      <c r="E65" s="81">
        <f t="shared" si="2"/>
        <v>685</v>
      </c>
      <c r="F65" s="81">
        <v>14</v>
      </c>
      <c r="G65" s="82" t="s">
        <v>85</v>
      </c>
      <c r="H65" s="81" t="s">
        <v>109</v>
      </c>
      <c r="I65" s="90" t="s">
        <v>137</v>
      </c>
      <c r="J65" s="84" t="s">
        <v>16</v>
      </c>
    </row>
    <row r="66" spans="2:10" ht="23.5">
      <c r="B66" s="91">
        <v>59</v>
      </c>
      <c r="C66" s="109" t="s">
        <v>138</v>
      </c>
      <c r="D66" s="110">
        <f t="shared" si="0"/>
        <v>686</v>
      </c>
      <c r="E66" s="110">
        <f t="shared" si="2"/>
        <v>699</v>
      </c>
      <c r="F66" s="110">
        <v>14</v>
      </c>
      <c r="G66" s="111" t="s">
        <v>85</v>
      </c>
      <c r="H66" s="110" t="s">
        <v>109</v>
      </c>
      <c r="I66" s="112" t="s">
        <v>139</v>
      </c>
      <c r="J66" s="84" t="s">
        <v>16</v>
      </c>
    </row>
    <row r="67" spans="2:10">
      <c r="B67" s="79">
        <v>60</v>
      </c>
      <c r="C67" s="80" t="s">
        <v>140</v>
      </c>
      <c r="D67" s="81">
        <f t="shared" si="0"/>
        <v>700</v>
      </c>
      <c r="E67" s="81">
        <f t="shared" si="2"/>
        <v>707</v>
      </c>
      <c r="F67" s="81">
        <v>8</v>
      </c>
      <c r="G67" s="82" t="s">
        <v>13</v>
      </c>
      <c r="H67" s="81" t="s">
        <v>109</v>
      </c>
      <c r="I67" s="83" t="s">
        <v>88</v>
      </c>
      <c r="J67" s="113" t="s">
        <v>16</v>
      </c>
    </row>
    <row r="68" spans="2:10">
      <c r="B68" s="79">
        <v>61</v>
      </c>
      <c r="C68" s="80" t="s">
        <v>141</v>
      </c>
      <c r="D68" s="81">
        <f t="shared" si="0"/>
        <v>708</v>
      </c>
      <c r="E68" s="81">
        <f t="shared" si="2"/>
        <v>710</v>
      </c>
      <c r="F68" s="81">
        <v>3</v>
      </c>
      <c r="G68" s="82" t="s">
        <v>13</v>
      </c>
      <c r="H68" s="81" t="s">
        <v>82</v>
      </c>
      <c r="I68" s="83" t="s">
        <v>91</v>
      </c>
      <c r="J68" s="113" t="s">
        <v>16</v>
      </c>
    </row>
    <row r="69" spans="2:10">
      <c r="B69" s="79">
        <v>62</v>
      </c>
      <c r="C69" s="80" t="s">
        <v>142</v>
      </c>
      <c r="D69" s="81">
        <f t="shared" si="0"/>
        <v>711</v>
      </c>
      <c r="E69" s="81">
        <f t="shared" si="2"/>
        <v>727</v>
      </c>
      <c r="F69" s="81">
        <v>17</v>
      </c>
      <c r="G69" s="82" t="s">
        <v>52</v>
      </c>
      <c r="H69" s="81" t="s">
        <v>82</v>
      </c>
      <c r="I69" s="83" t="s">
        <v>143</v>
      </c>
      <c r="J69" s="113" t="s">
        <v>16</v>
      </c>
    </row>
    <row r="70" spans="2:10">
      <c r="B70" s="114">
        <v>63</v>
      </c>
      <c r="C70" s="82" t="s">
        <v>144</v>
      </c>
      <c r="D70" s="81">
        <f t="shared" si="0"/>
        <v>728</v>
      </c>
      <c r="E70" s="81">
        <f t="shared" si="2"/>
        <v>797</v>
      </c>
      <c r="F70" s="81">
        <v>70</v>
      </c>
      <c r="G70" s="82" t="s">
        <v>13</v>
      </c>
      <c r="H70" s="81" t="s">
        <v>109</v>
      </c>
      <c r="I70" s="83" t="s">
        <v>145</v>
      </c>
      <c r="J70" s="84" t="s">
        <v>16</v>
      </c>
    </row>
    <row r="71" spans="2:10">
      <c r="B71" s="114">
        <v>64</v>
      </c>
      <c r="C71" s="82" t="s">
        <v>146</v>
      </c>
      <c r="D71" s="81">
        <f t="shared" si="0"/>
        <v>798</v>
      </c>
      <c r="E71" s="81">
        <f t="shared" si="2"/>
        <v>806</v>
      </c>
      <c r="F71" s="81">
        <v>9</v>
      </c>
      <c r="G71" s="82" t="s">
        <v>13</v>
      </c>
      <c r="H71" s="81" t="s">
        <v>109</v>
      </c>
      <c r="I71" s="83" t="s">
        <v>147</v>
      </c>
      <c r="J71" s="115" t="s">
        <v>16</v>
      </c>
    </row>
    <row r="72" spans="2:10" ht="14.5" thickBot="1">
      <c r="B72" s="114">
        <v>65</v>
      </c>
      <c r="C72" s="184" t="s">
        <v>148</v>
      </c>
      <c r="D72" s="185">
        <f>+E71+1</f>
        <v>807</v>
      </c>
      <c r="E72" s="185">
        <f t="shared" si="2"/>
        <v>826</v>
      </c>
      <c r="F72" s="185">
        <v>20</v>
      </c>
      <c r="G72" s="186" t="s">
        <v>13</v>
      </c>
      <c r="H72" s="185" t="s">
        <v>109</v>
      </c>
      <c r="I72" s="187" t="s">
        <v>149</v>
      </c>
      <c r="J72" s="115" t="s">
        <v>16</v>
      </c>
    </row>
    <row r="73" spans="2:10">
      <c r="B73" s="121"/>
      <c r="C73" s="122"/>
      <c r="D73" s="123"/>
      <c r="E73" s="123"/>
      <c r="F73" s="123"/>
      <c r="G73" s="122"/>
      <c r="H73" s="123"/>
      <c r="I73" s="122"/>
      <c r="J73" s="67"/>
    </row>
    <row r="74" spans="2:10">
      <c r="B74" s="124"/>
      <c r="C74" s="125" t="s">
        <v>150</v>
      </c>
      <c r="D74" s="126"/>
      <c r="E74" s="126"/>
      <c r="F74" s="126"/>
      <c r="G74" s="127"/>
      <c r="H74" s="126"/>
      <c r="I74" s="127"/>
      <c r="J74" s="128"/>
    </row>
    <row r="75" spans="2:10">
      <c r="B75" s="124"/>
      <c r="C75" s="129" t="s">
        <v>151</v>
      </c>
      <c r="D75" s="126"/>
      <c r="E75" s="126"/>
      <c r="F75" s="126"/>
      <c r="G75" s="127"/>
      <c r="H75" s="126"/>
      <c r="I75" s="127"/>
      <c r="J75" s="128"/>
    </row>
    <row r="76" spans="2:10">
      <c r="B76" s="124"/>
      <c r="C76" s="129" t="s">
        <v>152</v>
      </c>
      <c r="D76" s="126"/>
      <c r="E76" s="126"/>
      <c r="F76" s="126"/>
      <c r="G76" s="127"/>
      <c r="H76" s="126"/>
      <c r="I76" s="127"/>
      <c r="J76" s="128"/>
    </row>
    <row r="77" spans="2:10">
      <c r="B77" s="124"/>
      <c r="C77" s="129" t="s">
        <v>153</v>
      </c>
      <c r="D77" s="126"/>
      <c r="E77" s="126"/>
      <c r="F77" s="126"/>
      <c r="G77" s="127"/>
      <c r="H77" s="126"/>
      <c r="I77" s="127"/>
      <c r="J77" s="128"/>
    </row>
    <row r="78" spans="2:10" ht="27.75" customHeight="1">
      <c r="B78" s="124"/>
      <c r="C78" s="129"/>
      <c r="D78" s="126"/>
      <c r="E78" s="126"/>
      <c r="F78" s="126"/>
      <c r="G78" s="127"/>
      <c r="H78" s="126"/>
      <c r="I78" s="127"/>
      <c r="J78" s="128"/>
    </row>
    <row r="79" spans="2:10">
      <c r="B79" s="130"/>
      <c r="C79" s="199" t="s">
        <v>154</v>
      </c>
      <c r="D79" s="200"/>
      <c r="E79" s="200"/>
      <c r="F79" s="200"/>
      <c r="G79" s="200"/>
      <c r="H79" s="200"/>
      <c r="J79" s="128"/>
    </row>
    <row r="80" spans="2:10" ht="27.75" customHeight="1">
      <c r="B80" s="130"/>
      <c r="C80" s="125"/>
      <c r="J80" s="128"/>
    </row>
    <row r="81" spans="2:10">
      <c r="B81" s="130"/>
      <c r="C81" s="199" t="s">
        <v>155</v>
      </c>
      <c r="D81" s="200"/>
      <c r="E81" s="200"/>
      <c r="F81" s="200"/>
      <c r="G81" s="200"/>
      <c r="H81" s="200"/>
      <c r="J81" s="128"/>
    </row>
    <row r="82" spans="2:10" ht="14.5" thickBot="1">
      <c r="B82" s="68"/>
      <c r="C82" s="131"/>
      <c r="D82" s="131"/>
      <c r="E82" s="131"/>
      <c r="F82" s="131"/>
      <c r="G82" s="131"/>
      <c r="H82" s="131"/>
      <c r="I82" s="131"/>
      <c r="J82" s="72"/>
    </row>
  </sheetData>
  <mergeCells count="2">
    <mergeCell ref="C79:H79"/>
    <mergeCell ref="C81:H8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9704EC53D3399448760CB3FB1DC9C3B" ma:contentTypeVersion="0" ma:contentTypeDescription="Create a new document." ma:contentTypeScope="" ma:versionID="2eb79c8724026dc34a3d580d6bdb0fa4">
  <xsd:schema xmlns:xsd="http://www.w3.org/2001/XMLSchema" xmlns:xs="http://www.w3.org/2001/XMLSchema" xmlns:p="http://schemas.microsoft.com/office/2006/metadata/properties" targetNamespace="http://schemas.microsoft.com/office/2006/metadata/properties" ma:root="true" ma:fieldsID="500c6692915ba10984c0aabd49f31b2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D6ED0AE-FC07-450C-9FF2-2D15F06C5555}">
  <ds:schemaRefs>
    <ds:schemaRef ds:uri="http://schemas.microsoft.com/sharepoint/v3/contenttype/forms"/>
  </ds:schemaRefs>
</ds:datastoreItem>
</file>

<file path=customXml/itemProps2.xml><?xml version="1.0" encoding="utf-8"?>
<ds:datastoreItem xmlns:ds="http://schemas.openxmlformats.org/officeDocument/2006/customXml" ds:itemID="{0C9C1434-3A56-400D-B757-5B4D334B6261}">
  <ds:schemaRefs>
    <ds:schemaRef ds:uri="http://schemas.openxmlformats.org/package/2006/metadata/core-properties"/>
    <ds:schemaRef ds:uri="http://purl.org/dc/elements/1.1/"/>
    <ds:schemaRef ds:uri="http://purl.org/dc/dcmitype/"/>
    <ds:schemaRef ds:uri="http://schemas.microsoft.com/office/2006/documentManagement/types"/>
    <ds:schemaRef ds:uri="http://purl.org/dc/terms/"/>
    <ds:schemaRef ds:uri="http://www.w3.org/XML/1998/namespace"/>
    <ds:schemaRef ds:uri="http://schemas.microsoft.com/office/infopath/2007/PartnerControls"/>
    <ds:schemaRef ds:uri="http://schemas.microsoft.com/office/2006/metadata/properties"/>
  </ds:schemaRefs>
</ds:datastoreItem>
</file>

<file path=customXml/itemProps3.xml><?xml version="1.0" encoding="utf-8"?>
<ds:datastoreItem xmlns:ds="http://schemas.openxmlformats.org/officeDocument/2006/customXml" ds:itemID="{BB725792-E54E-4C1B-A06C-90A9EA8CDB1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Nuevo Formato</vt:lpstr>
      <vt:lpstr>Tablas</vt:lpstr>
      <vt:lpstr>Mapeo</vt:lpstr>
      <vt:lpstr>ResumenCampos</vt:lpstr>
      <vt:lpstr>Apis</vt:lpstr>
      <vt:lpstr>Mapeo W</vt:lpstr>
      <vt:lpstr>Inicios</vt:lpstr>
      <vt:lpstr>Compensaciones</vt:lpstr>
      <vt:lpstr>Flujos Swaps</vt:lpstr>
      <vt:lpstr>PRE9599</vt:lpstr>
      <vt:lpstr>'Mapeo W'!Print_Area</vt:lpstr>
      <vt:lpstr>'Nuevo Formato'!Print_Area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Topete, Alan</dc:creator>
  <cp:keywords/>
  <dc:description/>
  <cp:lastModifiedBy>Martha Flor de María Pérez Díaz</cp:lastModifiedBy>
  <cp:revision/>
  <dcterms:created xsi:type="dcterms:W3CDTF">2025-10-31T06:19:49Z</dcterms:created>
  <dcterms:modified xsi:type="dcterms:W3CDTF">2026-03-04T23:03:21Z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59c894a-69d0-407a-b939-43ad1c556e3e_Enabled">
    <vt:lpwstr>true</vt:lpwstr>
  </property>
  <property fmtid="{D5CDD505-2E9C-101B-9397-08002B2CF9AE}" pid="3" name="MSIP_Label_359c894a-69d0-407a-b939-43ad1c556e3e_SetDate">
    <vt:lpwstr>2025-10-31T07:00:07Z</vt:lpwstr>
  </property>
  <property fmtid="{D5CDD505-2E9C-101B-9397-08002B2CF9AE}" pid="4" name="MSIP_Label_359c894a-69d0-407a-b939-43ad1c556e3e_Method">
    <vt:lpwstr>Privileged</vt:lpwstr>
  </property>
  <property fmtid="{D5CDD505-2E9C-101B-9397-08002B2CF9AE}" pid="5" name="MSIP_Label_359c894a-69d0-407a-b939-43ad1c556e3e_Name">
    <vt:lpwstr>Limited - External</vt:lpwstr>
  </property>
  <property fmtid="{D5CDD505-2E9C-101B-9397-08002B2CF9AE}" pid="6" name="MSIP_Label_359c894a-69d0-407a-b939-43ad1c556e3e_SiteId">
    <vt:lpwstr>282a3295-5c42-4d93-9ec1-6631001cc5f7</vt:lpwstr>
  </property>
  <property fmtid="{D5CDD505-2E9C-101B-9397-08002B2CF9AE}" pid="7" name="MSIP_Label_359c894a-69d0-407a-b939-43ad1c556e3e_ActionId">
    <vt:lpwstr>568b4b2a-e133-46ee-915b-6e63958ccfef</vt:lpwstr>
  </property>
  <property fmtid="{D5CDD505-2E9C-101B-9397-08002B2CF9AE}" pid="8" name="MSIP_Label_359c894a-69d0-407a-b939-43ad1c556e3e_ContentBits">
    <vt:lpwstr>0</vt:lpwstr>
  </property>
  <property fmtid="{D5CDD505-2E9C-101B-9397-08002B2CF9AE}" pid="9" name="MSIP_Label_359c894a-69d0-407a-b939-43ad1c556e3e_Tag">
    <vt:lpwstr>10, 0, 1, 1</vt:lpwstr>
  </property>
  <property fmtid="{D5CDD505-2E9C-101B-9397-08002B2CF9AE}" pid="10" name="ContentTypeId">
    <vt:lpwstr>0x01010069704EC53D3399448760CB3FB1DC9C3B</vt:lpwstr>
  </property>
</Properties>
</file>